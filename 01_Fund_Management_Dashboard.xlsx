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und Register" sheetId="2" state="visible" r:id="rId4"/>
    <sheet name="Transactions" sheetId="3" state="visible" r:id="rId5"/>
    <sheet name="Reconciliation" sheetId="4" state="visible" r:id="rId6"/>
    <sheet name="Pivot Summary" sheetId="5" state="visible" r:id="rId7"/>
    <sheet name="_ChartData" sheetId="6" state="hidden" r:id="rId8"/>
    <sheet name="Charts" sheetId="7" state="visible" r:id="rId9"/>
    <sheet name="Features Use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<sst xmlns="http://schemas.openxmlformats.org/spreadsheetml/2006/main" count="1148" uniqueCount="314">
  <si>
    <t xml:space="preserve">FUND MANAGEMENT &amp; RECONCILIATION</t>
  </si>
  <si>
    <t xml:space="preserve">FY2025 Multi-Fund Portfolio  ·  8 Active Funds  ·  Monthly Bank Reconciliation</t>
  </si>
  <si>
    <t xml:space="preserve">TOTAL FUNDS UNDER MGMT</t>
  </si>
  <si>
    <t xml:space="preserve">YTD EXPENDITURES</t>
  </si>
  <si>
    <t xml:space="preserve">CURRENT BALANCE</t>
  </si>
  <si>
    <t xml:space="preserve">RECONCILIATION STATUS</t>
  </si>
  <si>
    <t xml:space="preserve">8 active funds · FY2025</t>
  </si>
  <si>
    <t xml:space="preserve">All outflows · to date</t>
  </si>
  <si>
    <t xml:space="preserve">After inflows &amp; outflows</t>
  </si>
  <si>
    <t xml:space="preserve">12 of 12 months · zero variance</t>
  </si>
  <si>
    <t xml:space="preserve">FUND BALANCES SUMMARY</t>
  </si>
  <si>
    <t xml:space="preserve">Code</t>
  </si>
  <si>
    <t xml:space="preserve">Fund Name</t>
  </si>
  <si>
    <t xml:space="preserve">Category</t>
  </si>
  <si>
    <t xml:space="preserve">Opening Balance</t>
  </si>
  <si>
    <t xml:space="preserve">Inflows (YTD)</t>
  </si>
  <si>
    <t xml:space="preserve">Outflows (YTD)</t>
  </si>
  <si>
    <t xml:space="preserve">Current Balance</t>
  </si>
  <si>
    <t xml:space="preserve">Utilization</t>
  </si>
  <si>
    <t xml:space="preserve">Status</t>
  </si>
  <si>
    <t xml:space="preserve">GF-001</t>
  </si>
  <si>
    <t xml:space="preserve">General Operating Fund</t>
  </si>
  <si>
    <t xml:space="preserve">State</t>
  </si>
  <si>
    <t xml:space="preserve">FG-204</t>
  </si>
  <si>
    <t xml:space="preserve">Federal Grant - Community Dev</t>
  </si>
  <si>
    <t xml:space="preserve">Federal</t>
  </si>
  <si>
    <t xml:space="preserve">FG-315</t>
  </si>
  <si>
    <t xml:space="preserve">Federal Grant - Workforce Initiative</t>
  </si>
  <si>
    <t xml:space="preserve">TR-101</t>
  </si>
  <si>
    <t xml:space="preserve">Governor's Office Travel Fund</t>
  </si>
  <si>
    <t xml:space="preserve">EV-050</t>
  </si>
  <si>
    <t xml:space="preserve">Annual Stakeholder Event Fund</t>
  </si>
  <si>
    <t xml:space="preserve">Event</t>
  </si>
  <si>
    <t xml:space="preserve">CM-440</t>
  </si>
  <si>
    <t xml:space="preserve">Capital Maintenance Fund</t>
  </si>
  <si>
    <t xml:space="preserve">SG-112</t>
  </si>
  <si>
    <t xml:space="preserve">Subgrantee Pass-Through Fund</t>
  </si>
  <si>
    <t xml:space="preserve">OP-220</t>
  </si>
  <si>
    <t xml:space="preserve">Agency Operations Fund</t>
  </si>
  <si>
    <t xml:space="preserve">TOTAL</t>
  </si>
  <si>
    <t xml:space="preserve">CONTROLS &amp; NOTES</t>
  </si>
  <si>
    <t xml:space="preserve">  ▸  All fund balances are reconciled monthly against AZ360 State Accounting System ledger entries.</t>
  </si>
  <si>
    <t xml:space="preserve">  ▸  Utilization color scale: light green (healthy) → amber (caution &gt;70%) → light red (review &gt;100%).</t>
  </si>
  <si>
    <t xml:space="preserve">  ▸  Federal fund drawdowns processed via ACH in compliance with 2 CFR 200 and SAAM guidance.</t>
  </si>
  <si>
    <t xml:space="preserve">  ▸  Inflows and outflows pull dynamically from the Transactions ledger via SUMIFS — no manual updates.</t>
  </si>
  <si>
    <t xml:space="preserve">Illustrative portfolio model  ·  Figures are synthesized to demonstrate workflow and do not represent actual State of Arizona financial records.</t>
  </si>
  <si>
    <t xml:space="preserve">Prepared by Thomas P. McCoy  ·  Senior Accountant &amp; Grant Auditor  ·  Modeled on multi-fund state accounting operations</t>
  </si>
  <si>
    <t xml:space="preserve">FUND REGISTER  —  Master list of all fund codes, categories, and authorization details</t>
  </si>
  <si>
    <t xml:space="preserve">FY Start</t>
  </si>
  <si>
    <t xml:space="preserve">FY End</t>
  </si>
  <si>
    <t xml:space="preserve">Budget Authority</t>
  </si>
  <si>
    <t xml:space="preserve">Manager</t>
  </si>
  <si>
    <t xml:space="preserve">Active</t>
  </si>
  <si>
    <t xml:space="preserve">T. McCoy</t>
  </si>
  <si>
    <t xml:space="preserve">TRANSACTIONS LEDGER  —  All FY2025 fund activity tied to Fund Codes for SUMIFS aggregation</t>
  </si>
  <si>
    <t xml:space="preserve">Date</t>
  </si>
  <si>
    <t xml:space="preserve">Fund Code</t>
  </si>
  <si>
    <t xml:space="preserve">Description</t>
  </si>
  <si>
    <t xml:space="preserve">Type</t>
  </si>
  <si>
    <t xml:space="preserve">Amount</t>
  </si>
  <si>
    <t xml:space="preserve">Vendor/Source</t>
  </si>
  <si>
    <t xml:space="preserve">GL Account</t>
  </si>
  <si>
    <t xml:space="preserve">Program Materials</t>
  </si>
  <si>
    <t xml:space="preserve">Outflow</t>
  </si>
  <si>
    <t xml:space="preserve">Print Pro</t>
  </si>
  <si>
    <t xml:space="preserve">7020-Materials</t>
  </si>
  <si>
    <t xml:space="preserve">Federal Drawdown</t>
  </si>
  <si>
    <t xml:space="preserve">Inflow</t>
  </si>
  <si>
    <t xml:space="preserve">US Treasury</t>
  </si>
  <si>
    <t xml:space="preserve">4100-Fed Draw</t>
  </si>
  <si>
    <t xml:space="preserve">State Appropriation</t>
  </si>
  <si>
    <t xml:space="preserve">State Treasurer</t>
  </si>
  <si>
    <t xml:space="preserve">4010-Approp</t>
  </si>
  <si>
    <t xml:space="preserve">Facility Repair</t>
  </si>
  <si>
    <t xml:space="preserve">Johnson Controls</t>
  </si>
  <si>
    <t xml:space="preserve">5610-Repair</t>
  </si>
  <si>
    <t xml:space="preserve">Sponsor Revenue</t>
  </si>
  <si>
    <t xml:space="preserve">Sponsor Partners</t>
  </si>
  <si>
    <t xml:space="preserve">4040-Sponsor</t>
  </si>
  <si>
    <t xml:space="preserve">Venue Rental</t>
  </si>
  <si>
    <t xml:space="preserve">Phoenix Convention Ctr</t>
  </si>
  <si>
    <t xml:space="preserve">5510-Venue</t>
  </si>
  <si>
    <t xml:space="preserve">Fee Revenue</t>
  </si>
  <si>
    <t xml:space="preserve">Various</t>
  </si>
  <si>
    <t xml:space="preserve">4020-Fees</t>
  </si>
  <si>
    <t xml:space="preserve">Registration Revenue</t>
  </si>
  <si>
    <t xml:space="preserve">Attendees</t>
  </si>
  <si>
    <t xml:space="preserve">4030-Event Rev</t>
  </si>
  <si>
    <t xml:space="preserve">Catering</t>
  </si>
  <si>
    <t xml:space="preserve">Cateria Catering</t>
  </si>
  <si>
    <t xml:space="preserve">5520-Catering</t>
  </si>
  <si>
    <t xml:space="preserve">Consultant Fee</t>
  </si>
  <si>
    <t xml:space="preserve">Horizon Planning</t>
  </si>
  <si>
    <t xml:space="preserve">7030-Consultant</t>
  </si>
  <si>
    <t xml:space="preserve">Training</t>
  </si>
  <si>
    <t xml:space="preserve">SkillPath Seminars</t>
  </si>
  <si>
    <t xml:space="preserve">5300-Training</t>
  </si>
  <si>
    <t xml:space="preserve">Legal Services</t>
  </si>
  <si>
    <t xml:space="preserve">Snell &amp; Wilmer</t>
  </si>
  <si>
    <t xml:space="preserve">5720-Legal</t>
  </si>
  <si>
    <t xml:space="preserve">IT Services</t>
  </si>
  <si>
    <t xml:space="preserve">Insight Direct</t>
  </si>
  <si>
    <t xml:space="preserve">5710-IT Svc</t>
  </si>
  <si>
    <t xml:space="preserve">Flight - Official Travel</t>
  </si>
  <si>
    <t xml:space="preserve">Adtrav</t>
  </si>
  <si>
    <t xml:space="preserve">5410-Travel Air</t>
  </si>
  <si>
    <t xml:space="preserve">AV Services</t>
  </si>
  <si>
    <t xml:space="preserve">EventPro AV</t>
  </si>
  <si>
    <t xml:space="preserve">5530-AV</t>
  </si>
  <si>
    <t xml:space="preserve">Workforce Training</t>
  </si>
  <si>
    <t xml:space="preserve">WestCare AZ</t>
  </si>
  <si>
    <t xml:space="preserve">7040-Training</t>
  </si>
  <si>
    <t xml:space="preserve">Payroll</t>
  </si>
  <si>
    <t xml:space="preserve">ADP Payroll Services</t>
  </si>
  <si>
    <t xml:space="preserve">6010-Payroll</t>
  </si>
  <si>
    <t xml:space="preserve">Subgrantee Disbursement</t>
  </si>
  <si>
    <t xml:space="preserve">Coconino County</t>
  </si>
  <si>
    <t xml:space="preserve">7010-Subgrant</t>
  </si>
  <si>
    <t xml:space="preserve">HVAC Service</t>
  </si>
  <si>
    <t xml:space="preserve">Parker HVAC</t>
  </si>
  <si>
    <t xml:space="preserve">5620-HVAC</t>
  </si>
  <si>
    <t xml:space="preserve">Print Collateral</t>
  </si>
  <si>
    <t xml:space="preserve">AlphaGraphics</t>
  </si>
  <si>
    <t xml:space="preserve">5540-Print</t>
  </si>
  <si>
    <t xml:space="preserve">Software License</t>
  </si>
  <si>
    <t xml:space="preserve">Microsoft</t>
  </si>
  <si>
    <t xml:space="preserve">5050-Software</t>
  </si>
  <si>
    <t xml:space="preserve">Transfer In</t>
  </si>
  <si>
    <t xml:space="preserve">4200-Transfer</t>
  </si>
  <si>
    <t xml:space="preserve">Subgrantee Payment</t>
  </si>
  <si>
    <t xml:space="preserve">Pima County</t>
  </si>
  <si>
    <t xml:space="preserve">Insurance Premium</t>
  </si>
  <si>
    <t xml:space="preserve">State Risk Pool</t>
  </si>
  <si>
    <t xml:space="preserve">5730-Insurance</t>
  </si>
  <si>
    <t xml:space="preserve">Per Diem</t>
  </si>
  <si>
    <t xml:space="preserve">GSA Rate</t>
  </si>
  <si>
    <t xml:space="preserve">5440-Per Diem</t>
  </si>
  <si>
    <t xml:space="preserve">Equipment</t>
  </si>
  <si>
    <t xml:space="preserve">Dell Technologies</t>
  </si>
  <si>
    <t xml:space="preserve">7050-Equipment</t>
  </si>
  <si>
    <t xml:space="preserve">Lodging</t>
  </si>
  <si>
    <t xml:space="preserve">Hilton</t>
  </si>
  <si>
    <t xml:space="preserve">5420-Travel Lodging</t>
  </si>
  <si>
    <t xml:space="preserve">City of Mesa</t>
  </si>
  <si>
    <t xml:space="preserve">Professional Services</t>
  </si>
  <si>
    <t xml:space="preserve">Deloitte Consulting</t>
  </si>
  <si>
    <t xml:space="preserve">5200-Prof Svc</t>
  </si>
  <si>
    <t xml:space="preserve">Maricopa County</t>
  </si>
  <si>
    <t xml:space="preserve">Utilities</t>
  </si>
  <si>
    <t xml:space="preserve">APS Electric</t>
  </si>
  <si>
    <t xml:space="preserve">5100-Utilities</t>
  </si>
  <si>
    <t xml:space="preserve">Office Supplies</t>
  </si>
  <si>
    <t xml:space="preserve">Staples</t>
  </si>
  <si>
    <t xml:space="preserve">5010-Supplies</t>
  </si>
  <si>
    <t xml:space="preserve">INFLOWS TOTAL  (140 transactions)</t>
  </si>
  <si>
    <t xml:space="preserve">OUTFLOWS TOTAL</t>
  </si>
  <si>
    <t xml:space="preserve">NET POSITION</t>
  </si>
  <si>
    <t xml:space="preserve">MONTHLY BANK RECONCILIATION  —  Bank Statement vs. General Ledger</t>
  </si>
  <si>
    <t xml:space="preserve">Formula: Variance = (Bank Balance + Deposits in Transit − Outstanding Checks) − GL Balance.  Target = $0.00</t>
  </si>
  <si>
    <t xml:space="preserve">Month</t>
  </si>
  <si>
    <t xml:space="preserve">Bank Balance</t>
  </si>
  <si>
    <t xml:space="preserve">GL Balance</t>
  </si>
  <si>
    <t xml:space="preserve">Deposits in Transit</t>
  </si>
  <si>
    <t xml:space="preserve">Outstanding Checks</t>
  </si>
  <si>
    <t xml:space="preserve">Variance</t>
  </si>
  <si>
    <t xml:space="preserve">Notes</t>
  </si>
  <si>
    <t xml:space="preserve">January 2025</t>
  </si>
  <si>
    <t xml:space="preserve">All items cleared by M+3</t>
  </si>
  <si>
    <t xml:space="preserve">February 2025</t>
  </si>
  <si>
    <t xml:space="preserve">Clean reconciliation</t>
  </si>
  <si>
    <t xml:space="preserve">March 2025</t>
  </si>
  <si>
    <t xml:space="preserve">Q1 close completed on schedule</t>
  </si>
  <si>
    <t xml:space="preserve">April 2025</t>
  </si>
  <si>
    <t xml:space="preserve">Travel accruals adjusted</t>
  </si>
  <si>
    <t xml:space="preserve">May 2025</t>
  </si>
  <si>
    <t xml:space="preserve">Federal drawdown timing normalized</t>
  </si>
  <si>
    <t xml:space="preserve">June 2025</t>
  </si>
  <si>
    <t xml:space="preserve">FY close — zero unadjusted variance</t>
  </si>
  <si>
    <t xml:space="preserve">July 2025</t>
  </si>
  <si>
    <t xml:space="preserve">FY26 opening cycle</t>
  </si>
  <si>
    <t xml:space="preserve">August 2025</t>
  </si>
  <si>
    <t xml:space="preserve">Clean recon</t>
  </si>
  <si>
    <t xml:space="preserve">September 2025</t>
  </si>
  <si>
    <t xml:space="preserve">Federal FY close complete</t>
  </si>
  <si>
    <t xml:space="preserve">October 2025</t>
  </si>
  <si>
    <t xml:space="preserve">All items traced</t>
  </si>
  <si>
    <t xml:space="preserve">November 2025</t>
  </si>
  <si>
    <t xml:space="preserve">Budget carryover booked</t>
  </si>
  <si>
    <t xml:space="preserve">December 2025</t>
  </si>
  <si>
    <t xml:space="preserve">YE close — zero variance</t>
  </si>
  <si>
    <t xml:space="preserve">Clean</t>
  </si>
  <si>
    <t xml:space="preserve">12 of 12 months reconciled</t>
  </si>
  <si>
    <t xml:space="preserve">RECONCILIATION METHODOLOGY</t>
  </si>
  <si>
    <t xml:space="preserve">  1. Pull bank statement balance at month-end from treasury portal (JP Morgan Gov't Banking).</t>
  </si>
  <si>
    <t xml:space="preserve">  2. Extract GL balance from AZ360 State Accounting System — Fund-level trial balance.</t>
  </si>
  <si>
    <t xml:space="preserve">  3. Identify timing differences: deposits in transit + outstanding checks + adjusting entries.</t>
  </si>
  <si>
    <t xml:space="preserve">  4. Variance calculation: (Bank + DIT − OC) − GL.  Target = $0.00.</t>
  </si>
  <si>
    <t xml:space="preserve">  5. Document exceptions and resolve within 3 business days of month-end close.</t>
  </si>
  <si>
    <t xml:space="preserve">EXPENDITURE ANALYSIS  —  Pivot-style summaries via SUMIFS, refresh-free</t>
  </si>
  <si>
    <t xml:space="preserve">OUTFLOWS BY FUND</t>
  </si>
  <si>
    <t xml:space="preserve">OUTFLOWS BY FUND CATEGORY</t>
  </si>
  <si>
    <t xml:space="preserve">Fund</t>
  </si>
  <si>
    <t xml:space="preserve">Outflows</t>
  </si>
  <si>
    <t xml:space="preserve">% of Total</t>
  </si>
  <si>
    <t xml:space="preserve">Remaining</t>
  </si>
  <si>
    <t xml:space="preserve">GF-001 — General Operating Fund</t>
  </si>
  <si>
    <t xml:space="preserve">FG-204 — Federal Grant - Community Dev</t>
  </si>
  <si>
    <t xml:space="preserve">FG-315 — Federal Grant - Workforce Initiative</t>
  </si>
  <si>
    <t xml:space="preserve">TR-101 — Governor's Office Travel Fund</t>
  </si>
  <si>
    <t xml:space="preserve">100.0%</t>
  </si>
  <si>
    <t xml:space="preserve">EV-050 — Annual Stakeholder Event Fund</t>
  </si>
  <si>
    <t xml:space="preserve">CM-440 — Capital Maintenance Fund</t>
  </si>
  <si>
    <t xml:space="preserve">SG-112 — Subgrantee Pass-Through Fund</t>
  </si>
  <si>
    <t xml:space="preserve">OP-220 — Agency Operations Fund</t>
  </si>
  <si>
    <t xml:space="preserve">Inflows</t>
  </si>
  <si>
    <t xml:space="preserve">Net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</si>
  <si>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</si>
  <si>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</si>
  <si>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</si>
  <si>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</si>
  <si>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</si>
  <si>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</si>
  <si>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</si>
  <si>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</si>
  <si>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</si>
  <si>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</si>
  <si>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</si>
  <si>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</si>
  <si>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VISUAL ANALYSIS  —  Fund Management &amp; Reconciliation FY2025</t>
  </si>
  <si>
    <t xml:space="preserve">Six views using a WCAG-AA colorblind-safe palette (blue/orange primary pairing)</t>
  </si>
  <si>
    <t xml:space="preserve">§ 01  ·  FUND-LEVEL ACTIVITY</t>
  </si>
  <si>
    <t xml:space="preserve">§ 02  ·  MONTHLY CASH FLOW &amp; NET POSITION</t>
  </si>
  <si>
    <t xml:space="preserve">§ 03  ·  FUND UTILIZATION &amp; RECONCILIATION PERFORMANCE</t>
  </si>
  <si>
    <t xml:space="preserve">§ 04  ·  KEY INSIGHTS</t>
  </si>
  <si>
    <t xml:space="preserve">  ▸  $5.52M managed across 8 funds — State, Federal, and Event — with zero reconciliation variances across all 12 months.</t>
  </si>
  <si>
    <t xml:space="preserve">  ▸  Federal fund activity (Community Dev, Workforce Initiative, Subgrantee) represents the largest spending category at ~63% of total outflows.</t>
  </si>
  <si>
    <t xml:space="preserve">  ▸  EV-050 Event Fund flags 161% utilization (Over Budget) — drove the FY4 turnaround case study; SG-112 at 78% requires monitoring.</t>
  </si>
  <si>
    <t xml:space="preserve">  ▸  Monthly net cash flow pattern: surplus in Q1 and Q3 offsets Q2 drawdown timing — useful for FY26 cash-position forecasting.</t>
  </si>
  <si>
    <t xml:space="preserve">  ▸  All charts use a colorblind-safe palette (blue/orange pairing) meeting WCAG-AA contrast standards for accessibility.</t>
  </si>
  <si>
    <t xml:space="preserve">FEATURES &amp; METHODOLOGY</t>
  </si>
  <si>
    <t xml:space="preserve">A walkthrough of the Excel features, formulas, and design choices powering this workbook.</t>
  </si>
  <si>
    <t xml:space="preserve">Sheet / Area</t>
  </si>
  <si>
    <t xml:space="preserve">Feature Used</t>
  </si>
  <si>
    <t xml:space="preserve">What It Does  &amp;  Why It Matters</t>
  </si>
  <si>
    <t xml:space="preserve">Business Impact</t>
  </si>
  <si>
    <t xml:space="preserve">Dashboard — KPI Cards</t>
  </si>
  <si>
    <t xml:space="preserve">Formula-Driven KPIs</t>
  </si>
  <si>
    <t xml:space="preserve">Every KPI card (Total Funds, YTD Expenditures, Current Balance, Reconciliation Status) pulls from table formulas — not hardcoded. Change a transaction and every card updates instantly.</t>
  </si>
  <si>
    <t xml:space="preserve">Eliminates manual refresh · audit-ready accuracy</t>
  </si>
  <si>
    <t xml:space="preserve">Dashboard — Fund Balances</t>
  </si>
  <si>
    <t xml:space="preserve">SUMIFS Aggregation</t>
  </si>
  <si>
    <t xml:space="preserve">Inflows and Outflows columns use SUMIFS with fund-code + transaction-type criteria. Pulls dynamically from the Transactions ledger without any pivot refreshes.</t>
  </si>
  <si>
    <t xml:space="preserve">Real-time aggregation across 140+ transactions</t>
  </si>
  <si>
    <t xml:space="preserve">Dashboard — Utilization %</t>
  </si>
  <si>
    <t xml:space="preserve">Color Scale Conditional Formatting</t>
  </si>
  <si>
    <t xml:space="preserve">3-color gradient (green → amber → red) applied to Utilization column. Hiring managers see which funds are over/under spend at a glance.</t>
  </si>
  <si>
    <t xml:space="preserve">Data at a glance · faster exception ID</t>
  </si>
  <si>
    <t xml:space="preserve">Dashboard — Status Column</t>
  </si>
  <si>
    <t xml:space="preserve">Nested IF Logic + CF Rules</t>
  </si>
  <si>
    <t xml:space="preserve">Status = IF(util&gt;100%, "Over Budget", IF(util&gt;85%, "Review", IF(util&gt;60%, "Monitor", "On Track"))). Each status triggers a distinct colorblind-safe cell fill.</t>
  </si>
  <si>
    <t xml:space="preserve">Automated risk tiering · consistent thresholds</t>
  </si>
  <si>
    <t xml:space="preserve">Transactions — Totals</t>
  </si>
  <si>
    <t xml:space="preserve">SUMIFS by Transaction Type</t>
  </si>
  <si>
    <t xml:space="preserve">Footer splits totals into Inflows, Outflows, and Net Position separately — SUMIFS filters by the Type column. Prevents the common accounting error of summing all amounts as one.</t>
  </si>
  <si>
    <t xml:space="preserve">Eliminates mis-summation risk</t>
  </si>
  <si>
    <t xml:space="preserve">Reconciliation</t>
  </si>
  <si>
    <t xml:space="preserve">Variance Formula</t>
  </si>
  <si>
    <t xml:space="preserve">Variance = (Bank Balance + Deposits in Transit − Outstanding Checks) − GL Balance. Calculates the 4-point recon equation automatically for each of 12 months.</t>
  </si>
  <si>
    <t xml:space="preserve">Standardized GL-to-bank tie-out</t>
  </si>
  <si>
    <t xml:space="preserve">Reconciliation — Status</t>
  </si>
  <si>
    <t xml:space="preserve">IF with ABS Tolerance</t>
  </si>
  <si>
    <t xml:space="preserve">Status flags "Reconciled" if |variance| ≤ $100, else "Review". Tolerance threshold documented in the methodology block.</t>
  </si>
  <si>
    <t xml:space="preserve">Auto-flags exceptions for M+3 resolution</t>
  </si>
  <si>
    <t xml:space="preserve">Pivot Summary</t>
  </si>
  <si>
    <t xml:space="preserve">SUMIFS Pivot Alternative</t>
  </si>
  <si>
    <t xml:space="preserve">Replicates Excel PivotTable aggregation using SUMIFS — no manual refreshes needed. Totals by Fund AND by Fund Category side-by-side.</t>
  </si>
  <si>
    <t xml:space="preserve">Formula-driven pivots never go stale</t>
  </si>
  <si>
    <t xml:space="preserve">Pivot Summary — Remaining</t>
  </si>
  <si>
    <t xml:space="preserve">Data Bar Conditional Formatting</t>
  </si>
  <si>
    <t xml:space="preserve">Data bars on Remaining column create an instant visual of which funds have the most/least headroom.</t>
  </si>
  <si>
    <t xml:space="preserve">Visual comparison without reading numbers</t>
  </si>
  <si>
    <t xml:space="preserve">Charts Sheet</t>
  </si>
  <si>
    <t xml:space="preserve">Colorblind-Safe Palette</t>
  </si>
  <si>
    <t xml:space="preserve">All 6 charts use the Paul Tol / IBM Design qualitative palette — blue/orange primary pairing is distinguishable under deuteranopia, protanopia, and tritanopia.</t>
  </si>
  <si>
    <t xml:space="preserve">WCAG-AA accessibility · reaches all reviewers</t>
  </si>
  <si>
    <t xml:space="preserve">Charts — Cash Flow Bars</t>
  </si>
  <si>
    <t xml:space="preserve">Per-Point Color Logic</t>
  </si>
  <si>
    <t xml:space="preserve">Monthly Net Cash Flow bars individually colored — green for surplus months, orange for deficit. Line-item color coding inside a single chart series.</t>
  </si>
  <si>
    <t xml:space="preserve">Pattern emerges visually · no reading required</t>
  </si>
  <si>
    <t xml:space="preserve">Charts — Utilization</t>
  </si>
  <si>
    <t xml:space="preserve">Conditional Per-Bar Coloring</t>
  </si>
  <si>
    <t xml:space="preserve">Budget Utilization chart colors each fund's bar based on its own threshold (On Track / Monitor / Review / Over Budget).</t>
  </si>
  <si>
    <t xml:space="preserve">Outlier funds stand out visually</t>
  </si>
  <si>
    <t xml:space="preserve">Charts — Line Markers</t>
  </si>
  <si>
    <t xml:space="preserve">Dual-Encoding (Color + Shape)</t>
  </si>
  <si>
    <t xml:space="preserve">Monthly Inflows/Outflows lines use both different colors AND different marker shapes (circle vs. square) — accessible even if printed in grayscale.</t>
  </si>
  <si>
    <t xml:space="preserve">Print-safe · grayscale readable</t>
  </si>
  <si>
    <t xml:space="preserve">Helper Sheet</t>
  </si>
  <si>
    <t xml:space="preserve">Hidden _ChartData Sheet</t>
  </si>
  <si>
    <t xml:space="preserve">All chart source data lives in a hidden _ChartData sheet that pulls from Dashboard/Pivot via cell references. Keeps Charts sheet clean while data updates automatically.</t>
  </si>
  <si>
    <t xml:space="preserve">Clean separation of data and visualization</t>
  </si>
  <si>
    <t xml:space="preserve">Workbook</t>
  </si>
  <si>
    <t xml:space="preserve">Named Sheet Structure</t>
  </si>
  <si>
    <t xml:space="preserve">Seven sheets with clear separation of concerns: Dashboard → Fund Register → Transactions → Reconciliation → Pivot Summary → _ChartData (hidden) → Charts → Features.</t>
  </si>
  <si>
    <t xml:space="preserve">Auditor-friendly · easy to navigate</t>
  </si>
  <si>
    <t xml:space="preserve">Styling</t>
  </si>
  <si>
    <t xml:space="preserve">Editorial Design System</t>
  </si>
  <si>
    <t xml:space="preserve">Custom color tokens (ink, paper, primary audit-blue, signal greens/ambers/reds) applied consistently across all sheets. Typography: Calibri body + tabular number formats.</t>
  </si>
  <si>
    <t xml:space="preserve">Portfolio polish · professional presentation</t>
  </si>
  <si>
    <t xml:space="preserve">Formulas</t>
  </si>
  <si>
    <t xml:space="preserve">IFERROR Wrappers</t>
  </si>
  <si>
    <t xml:space="preserve">Division formulas (Utilization, % of Total) wrapped in IFERROR to gracefully handle any zero-denominator scenarios without breaking the dashboard.</t>
  </si>
  <si>
    <t xml:space="preserve">Graceful error handling · robust to edge cases</t>
  </si>
  <si>
    <t xml:space="preserve">Prepared by Thomas P. McCoy  ·  Senior Accountant &amp; Grant Auditor  ·  The Ledger, Vol. I — Edition 02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</si>
</sst>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—"/>
    <numFmt numFmtId="166" formatCode="@"/>
    <numFmt numFmtId="167" formatCode="\$#,##0"/>
    <numFmt numFmtId="168" formatCode="0.0%"/>
    <numFmt numFmtId="169" formatCode="mm/dd/yyyy"/>
    <numFmt numFmtId="170" formatCode="\$#,##0;&quot;($&quot;#,##0\)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1A1A17"/>
      <name val="Calibri"/>
      <family val="0"/>
      <charset val="1"/>
    </font>
    <font>
      <i val="true"/>
      <sz val="12"/>
      <color rgb="FF6B665E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A1A17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8"/>
      <color rgb="FF1A1A17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i val="true"/>
      <sz val="9"/>
      <color rgb="FF1A1A17"/>
      <name val="Calibri"/>
      <family val="0"/>
      <charset val="1"/>
    </font>
    <font>
      <b val="true"/>
      <sz val="14"/>
      <color rgb="FF1A1A1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A5FAD"/>
      <name val="Calibri"/>
      <family val="0"/>
      <charset val="1"/>
    </font>
    <font>
      <sz val="10"/>
      <color rgb="FF1A1A17"/>
      <name val="Calibri"/>
      <family val="0"/>
      <charset val="1"/>
    </font>
    <font>
      <b val="true"/>
      <sz val="10"/>
      <color rgb="FF11773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i val="true"/>
      <sz val="9"/>
      <color rgb="FF0A5FAD"/>
      <name val="Calibri"/>
      <family val="0"/>
      <charset val="1"/>
    </font>
    <font>
      <i val="true"/>
      <sz val="9"/>
      <color rgb="FF8A857D"/>
      <name val="Calibri"/>
      <family val="0"/>
      <charset val="1"/>
    </font>
    <font>
      <b val="true"/>
      <sz val="16"/>
      <color rgb="FF1A1A17"/>
      <name val="Calibri"/>
      <family val="0"/>
      <charset val="1"/>
    </font>
    <font>
      <sz val="9"/>
      <color rgb="FF1A1A17"/>
      <name val="Calibri"/>
      <family val="0"/>
      <charset val="1"/>
    </font>
    <font>
      <b val="true"/>
      <sz val="9"/>
      <color rgb="FF0A5FAD"/>
      <name val="Calibri"/>
      <family val="0"/>
      <charset val="1"/>
    </font>
    <font>
      <b val="true"/>
      <sz val="9"/>
      <color rgb="FFEE7733"/>
      <name val="Calibri"/>
      <family val="0"/>
      <charset val="1"/>
    </font>
    <font>
      <sz val="9"/>
      <color rgb="FF2C2C29"/>
      <name val="Calibri"/>
      <family val="0"/>
      <charset val="1"/>
    </font>
    <font>
      <sz val="9"/>
      <color rgb="FF8A857D"/>
      <name val="Calibri"/>
      <family val="0"/>
      <charset val="1"/>
    </font>
    <font>
      <b val="true"/>
      <sz val="9"/>
      <color rgb="FF0077BB"/>
      <name val="Calibri"/>
      <family val="0"/>
      <charset val="1"/>
    </font>
    <font>
      <i val="true"/>
      <sz val="11"/>
      <color rgb="FF8A857D"/>
      <name val="Calibri"/>
      <family val="0"/>
      <charset val="1"/>
    </font>
    <font>
      <sz val="10"/>
      <color rgb="FF2C2C29"/>
      <name val="Calibri"/>
      <family val="0"/>
      <charset val="1"/>
    </font>
    <font>
      <b val="true"/>
      <sz val="13"/>
      <color rgb="FF1A1A17"/>
      <name val="Calibri"/>
      <family val="0"/>
      <charset val="1"/>
    </font>
    <font>
      <b val="true"/>
      <sz val="10"/>
      <color rgb="FF1A1A17"/>
      <name val="Calibri"/>
      <family val="0"/>
      <charset val="1"/>
    </font>
    <font>
      <sz val="11"/>
      <color rgb="FF1A1A1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2"/>
      <color rgb="FF1A1A17"/>
      <name val="Calibri"/>
      <family val="0"/>
      <charset val="1"/>
    </font>
    <font>
      <i val="true"/>
      <sz val="12"/>
      <color rgb="FF8A857D"/>
      <name val="Calibri"/>
      <family val="0"/>
      <charset val="1"/>
    </font>
    <font>
      <i val="true"/>
      <sz val="10"/>
      <color rgb="FF117733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17"/>
        <bgColor rgb="FF2C2C29"/>
      </patternFill>
    </fill>
    <fill>
      <patternFill patternType="solid">
        <fgColor rgb="FF0A5FAD"/>
        <bgColor rgb="FF0077BB"/>
      </patternFill>
    </fill>
    <fill>
      <patternFill patternType="solid">
        <fgColor rgb="FF117733"/>
        <bgColor rgb="FF008080"/>
      </patternFill>
    </fill>
    <fill>
      <patternFill patternType="solid">
        <fgColor rgb="FFDDAA33"/>
        <bgColor rgb="FFFFCC00"/>
      </patternFill>
    </fill>
    <fill>
      <patternFill patternType="solid">
        <fgColor rgb="FFF8F4EC"/>
        <bgColor rgb="FFFFFFFF"/>
      </patternFill>
    </fill>
    <fill>
      <patternFill patternType="solid">
        <fgColor rgb="FFFFFFFF"/>
        <bgColor rgb="FFF8F4EC"/>
      </patternFill>
    </fill>
    <fill>
      <patternFill patternType="solid">
        <fgColor rgb="FF0077BB"/>
        <bgColor rgb="FF0A5FAD"/>
      </patternFill>
    </fill>
    <fill>
      <patternFill patternType="solid">
        <fgColor rgb="FFEE7733"/>
        <bgColor rgb="FFFF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A5FAD"/>
      </bottom>
      <diagonal/>
    </border>
    <border diagonalUp="false" diagonalDown="false">
      <left/>
      <right/>
      <top/>
      <bottom style="medium">
        <color rgb="FF1A1A17"/>
      </bottom>
      <diagonal/>
    </border>
    <border diagonalUp="false" diagonalDown="false">
      <left style="thin">
        <color rgb="FF1A1A17"/>
      </left>
      <right style="thin">
        <color rgb="FF1A1A17"/>
      </right>
      <top style="thin">
        <color rgb="FF1A1A17"/>
      </top>
      <bottom style="thin">
        <color rgb="FF1A1A17"/>
      </bottom>
      <diagonal/>
    </border>
    <border diagonalUp="false" diagonalDown="false">
      <left style="thin">
        <color rgb="FFE0DDD4"/>
      </left>
      <right style="thin">
        <color rgb="FFE0DDD4"/>
      </right>
      <top style="thin">
        <color rgb="FFE0DDD4"/>
      </top>
      <bottom style="thin">
        <color rgb="FFE0DDD4"/>
      </bottom>
      <diagonal/>
    </border>
    <border diagonalUp="false" diagonalDown="false">
      <left style="thin">
        <color rgb="FF1A1A17"/>
      </left>
      <right/>
      <top style="thin">
        <color rgb="FF1A1A17"/>
      </top>
      <bottom style="thin">
        <color rgb="FF1A1A1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5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5" fillId="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7" fillId="2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4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4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8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9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2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7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7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7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7" fillId="7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0"/>
        <b val="1"/>
        <color rgb="FFFFFFFF"/>
        <sz val="10"/>
      </font>
      <fill>
        <patternFill>
          <bgColor rgb="FFCC3311"/>
        </patternFill>
      </fill>
    </dxf>
    <dxf>
      <font>
        <name val="Calibri"/>
        <charset val="1"/>
        <family val="0"/>
        <b val="1"/>
        <color rgb="FFCC3311"/>
        <sz val="10"/>
      </font>
      <fill>
        <patternFill>
          <bgColor rgb="FFF2D0C6"/>
        </patternFill>
      </fill>
    </dxf>
    <dxf>
      <font>
        <name val="Calibri"/>
        <charset val="1"/>
        <family val="0"/>
        <b val="1"/>
        <color rgb="FF1A1A17"/>
        <sz val="10"/>
      </font>
      <fill>
        <patternFill>
          <bgColor rgb="FFDDAA33"/>
        </patternFill>
      </fill>
    </dxf>
    <dxf>
      <font>
        <name val="Calibri"/>
        <charset val="1"/>
        <family val="0"/>
        <b val="1"/>
        <color rgb="FF117733"/>
        <sz val="10"/>
      </font>
      <fill>
        <patternFill>
          <bgColor rgb="FFCBE4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17733"/>
      <rgbColor rgb="FF000080"/>
      <rgbColor rgb="FF808000"/>
      <rgbColor rgb="FF800080"/>
      <rgbColor rgb="FF0077BB"/>
      <rgbColor rgb="FFE0DDD4"/>
      <rgbColor rgb="FF8A857D"/>
      <rgbColor rgb="FF9999FF"/>
      <rgbColor rgb="FFAA3377"/>
      <rgbColor rgb="FFF8F4EC"/>
      <rgbColor rgb="FFCCFFFF"/>
      <rgbColor rgb="FF660066"/>
      <rgbColor rgb="FFFF8080"/>
      <rgbColor rgb="FF0A5FAD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BE4CE"/>
      <rgbColor rgb="FFFFFF99"/>
      <rgbColor rgb="FF99CCFF"/>
      <rgbColor rgb="FFFF99CC"/>
      <rgbColor rgb="FFCC99FF"/>
      <rgbColor rgb="FFF2D0C6"/>
      <rgbColor rgb="FF4F81BD"/>
      <rgbColor rgb="FF33CCCC"/>
      <rgbColor rgb="FF99CC00"/>
      <rgbColor rgb="FFFFCC00"/>
      <rgbColor rgb="FFDDAA33"/>
      <rgbColor rgb="FFEE7733"/>
      <rgbColor rgb="FF6B665E"/>
      <rgbColor rgb="FF878787"/>
      <rgbColor rgb="FF003366"/>
      <rgbColor rgb="FF339966"/>
      <rgbColor rgb="FF003300"/>
      <rgbColor rgb="FF1A1A17"/>
      <rgbColor rgb="FFCC3311"/>
      <rgbColor rgb="FF993366"/>
      <rgbColor rgb="FF333399"/>
      <rgbColor rgb="FF2C2C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Inflows vs. Outflows by Fund (YTD)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_ChartData!B1</c:f>
              <c:strCache>
                <c:ptCount val="1"/>
                <c:pt idx="0">
                  <c:v>Inflows</c:v>
                </c:pt>
              </c:strCache>
            </c:strRef>
          </c:tx>
          <c:spPr>
            <a:solidFill>
              <a:srgbClr val="0077b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_ChartData!$A$2:$A$9</c:f>
              <c:strCache>
                <c:ptCount val="8"/>
                <c:pt idx="0">
                  <c:v>GF-001</c:v>
                </c:pt>
                <c:pt idx="1">
                  <c:v>FG-204</c:v>
                </c:pt>
                <c:pt idx="2">
                  <c:v>FG-315</c:v>
                </c:pt>
                <c:pt idx="3">
                  <c:v>TR-101</c:v>
                </c:pt>
                <c:pt idx="4">
                  <c:v>EV-050</c:v>
                </c:pt>
                <c:pt idx="5">
                  <c:v>CM-440</c:v>
                </c:pt>
                <c:pt idx="6">
                  <c:v>SG-112</c:v>
                </c:pt>
                <c:pt idx="7">
                  <c:v>OP-220</c:v>
                </c:pt>
              </c:strCache>
            </c:strRef>
          </c:cat>
          <c:val>
            <c:numRef>
              <c:f>_ChartData!$B$2:$B$9</c:f>
              <c:numCache>
                <c:formatCode>\$#,##0</c:formatCode>
                <c:ptCount val="8"/>
                <c:pt idx="0">
                  <c:v>668000</c:v>
                </c:pt>
                <c:pt idx="1">
                  <c:v>370000</c:v>
                </c:pt>
                <c:pt idx="2">
                  <c:v>260000</c:v>
                </c:pt>
                <c:pt idx="3">
                  <c:v>115000</c:v>
                </c:pt>
                <c:pt idx="4">
                  <c:v>67000</c:v>
                </c:pt>
                <c:pt idx="5">
                  <c:v>195000</c:v>
                </c:pt>
                <c:pt idx="6">
                  <c:v>1140000</c:v>
                </c:pt>
                <c:pt idx="7">
                  <c:v>555000</c:v>
                </c:pt>
              </c:numCache>
            </c:numRef>
          </c:val>
        </c:ser>
        <c:ser>
          <c:idx val="1"/>
          <c:order val="1"/>
          <c:tx>
            <c:strRef>
              <c:f>_ChartData!C1</c:f>
              <c:strCache>
                <c:ptCount val="1"/>
                <c:pt idx="0">
                  <c:v>Outflows</c:v>
                </c:pt>
              </c:strCache>
            </c:strRef>
          </c:tx>
          <c:spPr>
            <a:solidFill>
              <a:srgbClr val="ee773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_ChartData!$A$2:$A$9</c:f>
              <c:strCache>
                <c:ptCount val="8"/>
                <c:pt idx="0">
                  <c:v>GF-001</c:v>
                </c:pt>
                <c:pt idx="1">
                  <c:v>FG-204</c:v>
                </c:pt>
                <c:pt idx="2">
                  <c:v>FG-315</c:v>
                </c:pt>
                <c:pt idx="3">
                  <c:v>TR-101</c:v>
                </c:pt>
                <c:pt idx="4">
                  <c:v>EV-050</c:v>
                </c:pt>
                <c:pt idx="5">
                  <c:v>CM-440</c:v>
                </c:pt>
                <c:pt idx="6">
                  <c:v>SG-112</c:v>
                </c:pt>
                <c:pt idx="7">
                  <c:v>OP-220</c:v>
                </c:pt>
              </c:strCache>
            </c:strRef>
          </c:cat>
          <c:val>
            <c:numRef>
              <c:f>_ChartData!$C$2:$C$9</c:f>
              <c:numCache>
                <c:formatCode>\$#,##0</c:formatCode>
                <c:ptCount val="8"/>
                <c:pt idx="0">
                  <c:v>315548</c:v>
                </c:pt>
                <c:pt idx="1">
                  <c:v>368229</c:v>
                </c:pt>
                <c:pt idx="2">
                  <c:v>275434</c:v>
                </c:pt>
                <c:pt idx="3">
                  <c:v>36476</c:v>
                </c:pt>
                <c:pt idx="4">
                  <c:v>96803</c:v>
                </c:pt>
                <c:pt idx="5">
                  <c:v>132688</c:v>
                </c:pt>
                <c:pt idx="6">
                  <c:v>899738</c:v>
                </c:pt>
                <c:pt idx="7">
                  <c:v>328132</c:v>
                </c:pt>
              </c:numCache>
            </c:numRef>
          </c:val>
        </c:ser>
        <c:gapWidth val="80"/>
        <c:overlap val="0"/>
        <c:axId val="15692119"/>
        <c:axId val="92948815"/>
      </c:barChart>
      <c:catAx>
        <c:axId val="15692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48815"/>
        <c:crosses val="autoZero"/>
        <c:auto val="1"/>
        <c:lblAlgn val="ctr"/>
        <c:lblOffset val="100"/>
        <c:noMultiLvlLbl val="0"/>
      </c:catAx>
      <c:valAx>
        <c:axId val="929488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921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Outflows by Fund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_ChartData!F1</c:f>
              <c:strCache>
                <c:ptCount val="1"/>
                <c:pt idx="0">
                  <c:v>Outflows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e7733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a337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_ChartData!$E$2:$E$4</c:f>
              <c:strCache>
                <c:ptCount val="3"/>
                <c:pt idx="0">
                  <c:v>State</c:v>
                </c:pt>
                <c:pt idx="1">
                  <c:v>Federal</c:v>
                </c:pt>
                <c:pt idx="2">
                  <c:v>Event</c:v>
                </c:pt>
              </c:strCache>
            </c:strRef>
          </c:cat>
          <c:val>
            <c:numRef>
              <c:f>_ChartData!$F$2:$F$4</c:f>
              <c:numCache>
                <c:formatCode>\$#,##0</c:formatCode>
                <c:ptCount val="3"/>
                <c:pt idx="0">
                  <c:v>812844</c:v>
                </c:pt>
                <c:pt idx="1">
                  <c:v>1543401</c:v>
                </c:pt>
                <c:pt idx="2">
                  <c:v>96803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Inflows vs. Outflows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_ChartData!I1</c:f>
              <c:strCache>
                <c:ptCount val="1"/>
                <c:pt idx="0">
                  <c:v>Inflows</c:v>
                </c:pt>
              </c:strCache>
            </c:strRef>
          </c:tx>
          <c:spPr>
            <a:solidFill>
              <a:srgbClr val="0077bb"/>
            </a:solidFill>
            <a:ln w="32040">
              <a:solidFill>
                <a:srgbClr val="0077bb"/>
              </a:solidFill>
              <a:round/>
            </a:ln>
          </c:spPr>
          <c:marker>
            <c:symbol val="circle"/>
            <c:size val="8"/>
            <c:spPr>
              <a:solidFill>
                <a:srgbClr val="0077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_ChartData!$H$2:$H$11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_ChartData!$I$2:$I$11</c:f>
              <c:numCache>
                <c:formatCode>\$#,##0</c:formatCode>
                <c:ptCount val="10"/>
                <c:pt idx="0">
                  <c:v>590000</c:v>
                </c:pt>
                <c:pt idx="1">
                  <c:v>122000</c:v>
                </c:pt>
                <c:pt idx="2">
                  <c:v>280000</c:v>
                </c:pt>
                <c:pt idx="3">
                  <c:v>372000</c:v>
                </c:pt>
                <c:pt idx="4">
                  <c:v>213000</c:v>
                </c:pt>
                <c:pt idx="5">
                  <c:v>310000</c:v>
                </c:pt>
                <c:pt idx="6">
                  <c:v>0</c:v>
                </c:pt>
                <c:pt idx="7">
                  <c:v>703000</c:v>
                </c:pt>
                <c:pt idx="8">
                  <c:v>395000</c:v>
                </c:pt>
                <c:pt idx="9">
                  <c:v>385000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_ChartData!J1</c:f>
              <c:strCache>
                <c:ptCount val="1"/>
                <c:pt idx="0">
                  <c:v>Outflows</c:v>
                </c:pt>
              </c:strCache>
            </c:strRef>
          </c:tx>
          <c:spPr>
            <a:solidFill>
              <a:srgbClr val="ee7733"/>
            </a:solidFill>
            <a:ln w="32040">
              <a:solidFill>
                <a:srgbClr val="ee7733"/>
              </a:solidFill>
              <a:round/>
            </a:ln>
          </c:spPr>
          <c:marker>
            <c:symbol val="square"/>
            <c:size val="8"/>
            <c:spPr>
              <a:solidFill>
                <a:srgbClr val="ee773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_ChartData!$H$2:$H$11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_ChartData!$J$2:$J$11</c:f>
              <c:numCache>
                <c:formatCode>\$#,##0</c:formatCode>
                <c:ptCount val="10"/>
                <c:pt idx="0">
                  <c:v>83148</c:v>
                </c:pt>
                <c:pt idx="1">
                  <c:v>263697</c:v>
                </c:pt>
                <c:pt idx="2">
                  <c:v>333053</c:v>
                </c:pt>
                <c:pt idx="3">
                  <c:v>465443</c:v>
                </c:pt>
                <c:pt idx="4">
                  <c:v>245411</c:v>
                </c:pt>
                <c:pt idx="5">
                  <c:v>113723</c:v>
                </c:pt>
                <c:pt idx="6">
                  <c:v>109065</c:v>
                </c:pt>
                <c:pt idx="7">
                  <c:v>357830</c:v>
                </c:pt>
                <c:pt idx="8">
                  <c:v>395413</c:v>
                </c:pt>
                <c:pt idx="9">
                  <c:v>86265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6789084"/>
        <c:axId val="55581609"/>
      </c:lineChart>
      <c:catAx>
        <c:axId val="967890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81609"/>
        <c:crosses val="autoZero"/>
        <c:auto val="1"/>
        <c:lblAlgn val="ctr"/>
        <c:lblOffset val="100"/>
        <c:noMultiLvlLbl val="0"/>
      </c:catAx>
      <c:valAx>
        <c:axId val="555816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890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_ChartData!K1</c:f>
              <c:strCache>
                <c:ptCount val="1"/>
                <c:pt idx="0">
                  <c:v>Net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17733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e7733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ee7733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ee7733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ee7733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117733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ee7733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117733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ee7733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11773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_ChartData!$H$2:$H$11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_ChartData!$K$2:$K$11</c:f>
              <c:numCache>
                <c:formatCode>\$#,##0;"($"#,##0\)</c:formatCode>
                <c:ptCount val="10"/>
                <c:pt idx="0">
                  <c:v>506852</c:v>
                </c:pt>
                <c:pt idx="1">
                  <c:v>-141697</c:v>
                </c:pt>
                <c:pt idx="2">
                  <c:v>-53053</c:v>
                </c:pt>
                <c:pt idx="3">
                  <c:v>-93443</c:v>
                </c:pt>
                <c:pt idx="4">
                  <c:v>-32411</c:v>
                </c:pt>
                <c:pt idx="5">
                  <c:v>196277</c:v>
                </c:pt>
                <c:pt idx="6">
                  <c:v>-109065</c:v>
                </c:pt>
                <c:pt idx="7">
                  <c:v>345170</c:v>
                </c:pt>
                <c:pt idx="8">
                  <c:v>-413</c:v>
                </c:pt>
                <c:pt idx="9">
                  <c:v>298735</c:v>
                </c:pt>
              </c:numCache>
            </c:numRef>
          </c:val>
        </c:ser>
        <c:gapWidth val="60"/>
        <c:overlap val="0"/>
        <c:axId val="70798469"/>
        <c:axId val="41197540"/>
      </c:barChart>
      <c:catAx>
        <c:axId val="707984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97540"/>
        <c:crosses val="autoZero"/>
        <c:auto val="1"/>
        <c:lblAlgn val="ctr"/>
        <c:lblOffset val="100"/>
        <c:noMultiLvlLbl val="0"/>
      </c:catAx>
      <c:valAx>
        <c:axId val="411975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(Net)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984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Utilization by Fund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Dashboard!I11</c:f>
              <c:strCache>
                <c:ptCount val="1"/>
                <c:pt idx="0">
                  <c:v>Utilization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cc3311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ddaa33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Dashboard!$B$12:$B$19</c:f>
              <c:strCache>
                <c:ptCount val="8"/>
                <c:pt idx="0">
                  <c:v>GF-001</c:v>
                </c:pt>
                <c:pt idx="1">
                  <c:v>FG-204</c:v>
                </c:pt>
                <c:pt idx="2">
                  <c:v>FG-315</c:v>
                </c:pt>
                <c:pt idx="3">
                  <c:v>TR-101</c:v>
                </c:pt>
                <c:pt idx="4">
                  <c:v>EV-050</c:v>
                </c:pt>
                <c:pt idx="5">
                  <c:v>CM-440</c:v>
                </c:pt>
                <c:pt idx="6">
                  <c:v>SG-112</c:v>
                </c:pt>
                <c:pt idx="7">
                  <c:v>OP-220</c:v>
                </c:pt>
              </c:strCache>
            </c:strRef>
          </c:cat>
          <c:val>
            <c:numRef>
              <c:f>Dashboard!$I$12:$I$19</c:f>
              <c:numCache>
                <c:formatCode>0.0%</c:formatCode>
                <c:ptCount val="8"/>
                <c:pt idx="0">
                  <c:v>0.2524384</c:v>
                </c:pt>
                <c:pt idx="1">
                  <c:v>0.433210588235294</c:v>
                </c:pt>
                <c:pt idx="2">
                  <c:v>0.444248387096774</c:v>
                </c:pt>
                <c:pt idx="3">
                  <c:v>0.197167567567568</c:v>
                </c:pt>
                <c:pt idx="4">
                  <c:v>1.61338333333333</c:v>
                </c:pt>
                <c:pt idx="5">
                  <c:v>0.312207058823529</c:v>
                </c:pt>
                <c:pt idx="6">
                  <c:v>0.782380869565217</c:v>
                </c:pt>
                <c:pt idx="7">
                  <c:v>0.334828571428571</c:v>
                </c:pt>
              </c:numCache>
            </c:numRef>
          </c:val>
        </c:ser>
        <c:gapWidth val="60"/>
        <c:overlap val="0"/>
        <c:axId val="60942081"/>
        <c:axId val="63138403"/>
      </c:barChart>
      <c:catAx>
        <c:axId val="6094208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Utilization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38403"/>
        <c:crosses val="autoZero"/>
        <c:auto val="1"/>
        <c:lblAlgn val="ctr"/>
        <c:lblOffset val="100"/>
        <c:noMultiLvlLbl val="0"/>
      </c:catAx>
      <c:valAx>
        <c:axId val="63138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420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Reconciliation Variance by Month ($0 target)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_ChartData!N1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117733"/>
            </a:solidFill>
            <a:ln w="32040">
              <a:solidFill>
                <a:srgbClr val="117733"/>
              </a:solidFill>
              <a:round/>
            </a:ln>
          </c:spPr>
          <c:marker>
            <c:symbol val="circle"/>
            <c:size val="10"/>
            <c:spPr>
              <a:solidFill>
                <a:srgbClr val="11773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_ChartData!$M$2:$M$13</c:f>
              <c:strCache>
                <c:ptCount val="12"/>
                <c:pt idx="0">
                  <c:v>January 2025</c:v>
                </c:pt>
                <c:pt idx="1">
                  <c:v>February 2025</c:v>
                </c:pt>
                <c:pt idx="2">
                  <c:v>March 2025</c:v>
                </c:pt>
                <c:pt idx="3">
                  <c:v>April 2025</c:v>
                </c:pt>
                <c:pt idx="4">
                  <c:v>May 2025</c:v>
                </c:pt>
                <c:pt idx="5">
                  <c:v>June 2025</c:v>
                </c:pt>
                <c:pt idx="6">
                  <c:v>July 2025</c:v>
                </c:pt>
                <c:pt idx="7">
                  <c:v>August 2025</c:v>
                </c:pt>
                <c:pt idx="8">
                  <c:v>September 2025</c:v>
                </c:pt>
                <c:pt idx="9">
                  <c:v>October 2025</c:v>
                </c:pt>
                <c:pt idx="10">
                  <c:v>November 2025</c:v>
                </c:pt>
                <c:pt idx="11">
                  <c:v>December 2025</c:v>
                </c:pt>
              </c:strCache>
            </c:strRef>
          </c:cat>
          <c:val>
            <c:numRef>
              <c:f>_ChartData!$N$2:$N$13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7000286"/>
        <c:axId val="94974132"/>
      </c:lineChart>
      <c:catAx>
        <c:axId val="270002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74132"/>
        <c:crosses val="autoZero"/>
        <c:auto val="1"/>
        <c:lblAlgn val="ctr"/>
        <c:lblOffset val="100"/>
        <c:noMultiLvlLbl val="0"/>
      </c:catAx>
      <c:valAx>
        <c:axId val="94974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002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0</xdr:rowOff>
    </xdr:from>
    <xdr:to>
      <xdr:col>10</xdr:col>
      <xdr:colOff>136080</xdr:colOff>
      <xdr:row>23</xdr:row>
      <xdr:rowOff>170640</xdr:rowOff>
    </xdr:to>
    <xdr:graphicFrame>
      <xdr:nvGraphicFramePr>
        <xdr:cNvPr id="0" name="Chart 1"/>
        <xdr:cNvGraphicFramePr/>
      </xdr:nvGraphicFramePr>
      <xdr:xfrm>
        <a:off x="704880" y="14572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5</xdr:row>
      <xdr:rowOff>0</xdr:rowOff>
    </xdr:from>
    <xdr:to>
      <xdr:col>16</xdr:col>
      <xdr:colOff>90360</xdr:colOff>
      <xdr:row>23</xdr:row>
      <xdr:rowOff>170640</xdr:rowOff>
    </xdr:to>
    <xdr:graphicFrame>
      <xdr:nvGraphicFramePr>
        <xdr:cNvPr id="1" name="Chart 2"/>
        <xdr:cNvGraphicFramePr/>
      </xdr:nvGraphicFramePr>
      <xdr:xfrm>
        <a:off x="7048440" y="145728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10</xdr:col>
      <xdr:colOff>136080</xdr:colOff>
      <xdr:row>45</xdr:row>
      <xdr:rowOff>170640</xdr:rowOff>
    </xdr:to>
    <xdr:graphicFrame>
      <xdr:nvGraphicFramePr>
        <xdr:cNvPr id="2" name="Chart 3"/>
        <xdr:cNvGraphicFramePr/>
      </xdr:nvGraphicFramePr>
      <xdr:xfrm>
        <a:off x="704880" y="58388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16</xdr:col>
      <xdr:colOff>90360</xdr:colOff>
      <xdr:row>45</xdr:row>
      <xdr:rowOff>170640</xdr:rowOff>
    </xdr:to>
    <xdr:graphicFrame>
      <xdr:nvGraphicFramePr>
        <xdr:cNvPr id="3" name="Chart 4"/>
        <xdr:cNvGraphicFramePr/>
      </xdr:nvGraphicFramePr>
      <xdr:xfrm>
        <a:off x="7048440" y="583884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10</xdr:col>
      <xdr:colOff>136080</xdr:colOff>
      <xdr:row>67</xdr:row>
      <xdr:rowOff>170640</xdr:rowOff>
    </xdr:to>
    <xdr:graphicFrame>
      <xdr:nvGraphicFramePr>
        <xdr:cNvPr id="4" name="Chart 5"/>
        <xdr:cNvGraphicFramePr/>
      </xdr:nvGraphicFramePr>
      <xdr:xfrm>
        <a:off x="704880" y="102204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49</xdr:row>
      <xdr:rowOff>0</xdr:rowOff>
    </xdr:from>
    <xdr:to>
      <xdr:col>16</xdr:col>
      <xdr:colOff>90360</xdr:colOff>
      <xdr:row>67</xdr:row>
      <xdr:rowOff>170640</xdr:rowOff>
    </xdr:to>
    <xdr:graphicFrame>
      <xdr:nvGraphicFramePr>
        <xdr:cNvPr id="5" name="Chart 6"/>
        <xdr:cNvGraphicFramePr/>
      </xdr:nvGraphicFramePr>
      <xdr:xfrm>
        <a:off x="7048440" y="1022040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8" min="5" style="0" width="18"/>
    <col collapsed="false" customWidth="true" hidden="false" outlineLevel="0" max="10" min="9" style="0" width="14"/>
    <col collapsed="false" customWidth="true" hidden="false" outlineLevel="0" max="11" min="11" style="0" width="2"/>
  </cols>
  <sheetData>
    <row r="1" customFormat="false" ht="9.75" hidden="false" customHeight="true" outlineLevel="0" collapsed="false"/>
    <row r="2" customFormat="false" ht="4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4" customFormat="false" ht="7.5" hidden="false" customHeight="true" outlineLevel="0" collapsed="false"/>
    <row r="5" customFormat="false" ht="15.75" hidden="false" customHeight="true" outlineLevel="0" collapsed="false">
      <c r="B5" s="3" t="s">
        <v>2</v>
      </c>
      <c r="C5" s="3"/>
      <c r="D5" s="3"/>
      <c r="E5" s="4" t="s">
        <v>3</v>
      </c>
      <c r="F5" s="4"/>
      <c r="G5" s="5" t="s">
        <v>4</v>
      </c>
      <c r="H5" s="5"/>
      <c r="I5" s="6" t="s">
        <v>5</v>
      </c>
      <c r="J5" s="6"/>
    </row>
    <row r="6" customFormat="false" ht="39.75" hidden="false" customHeight="true" outlineLevel="0" collapsed="false">
      <c r="B6" s="7" t="n">
        <f aca="false">E20</f>
        <v>5520000</v>
      </c>
      <c r="C6" s="7"/>
      <c r="D6" s="7"/>
      <c r="E6" s="8" t="n">
        <f aca="false">G20</f>
        <v>2453048</v>
      </c>
      <c r="F6" s="8"/>
      <c r="G6" s="9" t="n">
        <f aca="false">H20</f>
        <v>6436952</v>
      </c>
      <c r="H6" s="9"/>
      <c r="I6" s="10" t="str">
        <f aca="false">IF(SUMPRODUCT(--(Reconciliation!G5:G16&lt;&gt;0))=0,"ALL CLEAN","REVIEW")</f>
        <v>ALL CLEAN</v>
      </c>
      <c r="J6" s="10"/>
    </row>
    <row r="7" customFormat="false" ht="21.75" hidden="false" customHeight="true" outlineLevel="0" collapsed="false">
      <c r="B7" s="11" t="s">
        <v>6</v>
      </c>
      <c r="C7" s="11"/>
      <c r="D7" s="11"/>
      <c r="E7" s="12" t="s">
        <v>7</v>
      </c>
      <c r="F7" s="12"/>
      <c r="G7" s="13" t="s">
        <v>8</v>
      </c>
      <c r="H7" s="13"/>
      <c r="I7" s="14" t="s">
        <v>9</v>
      </c>
      <c r="J7" s="14"/>
    </row>
    <row r="8" customFormat="false" ht="12" hidden="false" customHeight="true" outlineLevel="0" collapsed="false"/>
    <row r="9" customFormat="false" ht="12" hidden="false" customHeight="true" outlineLevel="0" collapsed="false"/>
    <row r="10" customFormat="false" ht="30" hidden="false" customHeight="true" outlineLevel="0" collapsed="false">
      <c r="B10" s="15" t="s">
        <v>10</v>
      </c>
      <c r="C10" s="15"/>
      <c r="D10" s="15"/>
      <c r="E10" s="15"/>
      <c r="F10" s="15"/>
      <c r="G10" s="15"/>
      <c r="H10" s="15"/>
      <c r="I10" s="15"/>
      <c r="J10" s="15"/>
    </row>
    <row r="11" customFormat="false" ht="21.75" hidden="false" customHeight="true" outlineLevel="0" collapsed="false">
      <c r="B11" s="16" t="s">
        <v>11</v>
      </c>
      <c r="C11" s="17" t="s">
        <v>12</v>
      </c>
      <c r="D11" s="18" t="s">
        <v>13</v>
      </c>
      <c r="E11" s="18" t="s">
        <v>14</v>
      </c>
      <c r="F11" s="18" t="s">
        <v>15</v>
      </c>
      <c r="G11" s="18" t="s">
        <v>16</v>
      </c>
      <c r="H11" s="18" t="s">
        <v>17</v>
      </c>
      <c r="I11" s="18" t="s">
        <v>18</v>
      </c>
      <c r="J11" s="18" t="s">
        <v>19</v>
      </c>
    </row>
    <row r="12" customFormat="false" ht="19.5" hidden="false" customHeight="true" outlineLevel="0" collapsed="false">
      <c r="B12" s="19" t="s">
        <v>20</v>
      </c>
      <c r="C12" s="20" t="s">
        <v>21</v>
      </c>
      <c r="D12" s="21" t="s">
        <v>22</v>
      </c>
      <c r="E12" s="22" t="n">
        <v>1250000</v>
      </c>
      <c r="F12" s="23" t="n">
        <f aca="false">SUMIFS(Transactions!F:F,Transactions!C:C,B12,Transactions!E:E,"Inflow")</f>
        <v>668000</v>
      </c>
      <c r="G12" s="23" t="n">
        <f aca="false">SUMIFS(Transactions!F:F,Transactions!C:C,B12,Transactions!E:E,"Outflow")</f>
        <v>315548</v>
      </c>
      <c r="H12" s="23" t="n">
        <f aca="false">E12+F12-G12</f>
        <v>1602452</v>
      </c>
      <c r="I12" s="24" t="n">
        <f aca="false">IFERROR(G12/E12,0)</f>
        <v>0.2524384</v>
      </c>
      <c r="J12" s="25" t="str">
        <f aca="false">IF(I12&gt;1,"Over Budget",IF(I12&gt;0.85,"Review",IF(I12&gt;0.6,"Monitor","On Track")))</f>
        <v>On Track</v>
      </c>
    </row>
    <row r="13" customFormat="false" ht="19.5" hidden="false" customHeight="true" outlineLevel="0" collapsed="false">
      <c r="B13" s="26" t="s">
        <v>23</v>
      </c>
      <c r="C13" s="27" t="s">
        <v>24</v>
      </c>
      <c r="D13" s="28" t="s">
        <v>25</v>
      </c>
      <c r="E13" s="29" t="n">
        <v>850000</v>
      </c>
      <c r="F13" s="30" t="n">
        <f aca="false">SUMIFS(Transactions!F:F,Transactions!C:C,B13,Transactions!E:E,"Inflow")</f>
        <v>370000</v>
      </c>
      <c r="G13" s="30" t="n">
        <f aca="false">SUMIFS(Transactions!F:F,Transactions!C:C,B13,Transactions!E:E,"Outflow")</f>
        <v>368229</v>
      </c>
      <c r="H13" s="30" t="n">
        <f aca="false">E13+F13-G13</f>
        <v>851771</v>
      </c>
      <c r="I13" s="31" t="n">
        <f aca="false">IFERROR(G13/E13,0)</f>
        <v>0.433210588235294</v>
      </c>
      <c r="J13" s="32" t="str">
        <f aca="false">IF(I13&gt;1,"Over Budget",IF(I13&gt;0.85,"Review",IF(I13&gt;0.6,"Monitor","On Track")))</f>
        <v>On Track</v>
      </c>
    </row>
    <row r="14" customFormat="false" ht="19.5" hidden="false" customHeight="true" outlineLevel="0" collapsed="false">
      <c r="B14" s="19" t="s">
        <v>26</v>
      </c>
      <c r="C14" s="20" t="s">
        <v>27</v>
      </c>
      <c r="D14" s="21" t="s">
        <v>25</v>
      </c>
      <c r="E14" s="22" t="n">
        <v>620000</v>
      </c>
      <c r="F14" s="23" t="n">
        <f aca="false">SUMIFS(Transactions!F:F,Transactions!C:C,B14,Transactions!E:E,"Inflow")</f>
        <v>260000</v>
      </c>
      <c r="G14" s="23" t="n">
        <f aca="false">SUMIFS(Transactions!F:F,Transactions!C:C,B14,Transactions!E:E,"Outflow")</f>
        <v>275434</v>
      </c>
      <c r="H14" s="23" t="n">
        <f aca="false">E14+F14-G14</f>
        <v>604566</v>
      </c>
      <c r="I14" s="24" t="n">
        <f aca="false">IFERROR(G14/E14,0)</f>
        <v>0.444248387096774</v>
      </c>
      <c r="J14" s="25" t="str">
        <f aca="false">IF(I14&gt;1,"Over Budget",IF(I14&gt;0.85,"Review",IF(I14&gt;0.6,"Monitor","On Track")))</f>
        <v>On Track</v>
      </c>
    </row>
    <row r="15" customFormat="false" ht="19.5" hidden="false" customHeight="true" outlineLevel="0" collapsed="false">
      <c r="B15" s="26" t="s">
        <v>28</v>
      </c>
      <c r="C15" s="27" t="s">
        <v>29</v>
      </c>
      <c r="D15" s="28" t="s">
        <v>22</v>
      </c>
      <c r="E15" s="29" t="n">
        <v>185000</v>
      </c>
      <c r="F15" s="30" t="n">
        <f aca="false">SUMIFS(Transactions!F:F,Transactions!C:C,B15,Transactions!E:E,"Inflow")</f>
        <v>115000</v>
      </c>
      <c r="G15" s="30" t="n">
        <f aca="false">SUMIFS(Transactions!F:F,Transactions!C:C,B15,Transactions!E:E,"Outflow")</f>
        <v>36476</v>
      </c>
      <c r="H15" s="30" t="n">
        <f aca="false">E15+F15-G15</f>
        <v>263524</v>
      </c>
      <c r="I15" s="31" t="n">
        <f aca="false">IFERROR(G15/E15,0)</f>
        <v>0.197167567567568</v>
      </c>
      <c r="J15" s="32" t="str">
        <f aca="false">IF(I15&gt;1,"Over Budget",IF(I15&gt;0.85,"Review",IF(I15&gt;0.6,"Monitor","On Track")))</f>
        <v>On Track</v>
      </c>
    </row>
    <row r="16" customFormat="false" ht="19.5" hidden="false" customHeight="true" outlineLevel="0" collapsed="false">
      <c r="B16" s="19" t="s">
        <v>30</v>
      </c>
      <c r="C16" s="20" t="s">
        <v>31</v>
      </c>
      <c r="D16" s="21" t="s">
        <v>32</v>
      </c>
      <c r="E16" s="22" t="n">
        <v>60000</v>
      </c>
      <c r="F16" s="23" t="n">
        <f aca="false">SUMIFS(Transactions!F:F,Transactions!C:C,B16,Transactions!E:E,"Inflow")</f>
        <v>67000</v>
      </c>
      <c r="G16" s="23" t="n">
        <f aca="false">SUMIFS(Transactions!F:F,Transactions!C:C,B16,Transactions!E:E,"Outflow")</f>
        <v>96803</v>
      </c>
      <c r="H16" s="23" t="n">
        <f aca="false">E16+F16-G16</f>
        <v>30197</v>
      </c>
      <c r="I16" s="24" t="n">
        <f aca="false">IFERROR(G16/E16,0)</f>
        <v>1.61338333333333</v>
      </c>
      <c r="J16" s="25" t="str">
        <f aca="false">IF(I16&gt;1,"Over Budget",IF(I16&gt;0.85,"Review",IF(I16&gt;0.6,"Monitor","On Track")))</f>
        <v>Over Budget</v>
      </c>
    </row>
    <row r="17" customFormat="false" ht="19.5" hidden="false" customHeight="true" outlineLevel="0" collapsed="false">
      <c r="B17" s="26" t="s">
        <v>33</v>
      </c>
      <c r="C17" s="27" t="s">
        <v>34</v>
      </c>
      <c r="D17" s="28" t="s">
        <v>22</v>
      </c>
      <c r="E17" s="29" t="n">
        <v>425000</v>
      </c>
      <c r="F17" s="30" t="n">
        <f aca="false">SUMIFS(Transactions!F:F,Transactions!C:C,B17,Transactions!E:E,"Inflow")</f>
        <v>195000</v>
      </c>
      <c r="G17" s="30" t="n">
        <f aca="false">SUMIFS(Transactions!F:F,Transactions!C:C,B17,Transactions!E:E,"Outflow")</f>
        <v>132688</v>
      </c>
      <c r="H17" s="30" t="n">
        <f aca="false">E17+F17-G17</f>
        <v>487312</v>
      </c>
      <c r="I17" s="31" t="n">
        <f aca="false">IFERROR(G17/E17,0)</f>
        <v>0.312207058823529</v>
      </c>
      <c r="J17" s="32" t="str">
        <f aca="false">IF(I17&gt;1,"Over Budget",IF(I17&gt;0.85,"Review",IF(I17&gt;0.6,"Monitor","On Track")))</f>
        <v>On Track</v>
      </c>
    </row>
    <row r="18" customFormat="false" ht="19.5" hidden="false" customHeight="true" outlineLevel="0" collapsed="false">
      <c r="B18" s="19" t="s">
        <v>35</v>
      </c>
      <c r="C18" s="20" t="s">
        <v>36</v>
      </c>
      <c r="D18" s="21" t="s">
        <v>25</v>
      </c>
      <c r="E18" s="22" t="n">
        <v>1150000</v>
      </c>
      <c r="F18" s="23" t="n">
        <f aca="false">SUMIFS(Transactions!F:F,Transactions!C:C,B18,Transactions!E:E,"Inflow")</f>
        <v>1140000</v>
      </c>
      <c r="G18" s="23" t="n">
        <f aca="false">SUMIFS(Transactions!F:F,Transactions!C:C,B18,Transactions!E:E,"Outflow")</f>
        <v>899738</v>
      </c>
      <c r="H18" s="23" t="n">
        <f aca="false">E18+F18-G18</f>
        <v>1390262</v>
      </c>
      <c r="I18" s="24" t="n">
        <f aca="false">IFERROR(G18/E18,0)</f>
        <v>0.782380869565217</v>
      </c>
      <c r="J18" s="25" t="str">
        <f aca="false">IF(I18&gt;1,"Over Budget",IF(I18&gt;0.85,"Review",IF(I18&gt;0.6,"Monitor","On Track")))</f>
        <v>Monitor</v>
      </c>
    </row>
    <row r="19" customFormat="false" ht="19.5" hidden="false" customHeight="true" outlineLevel="0" collapsed="false">
      <c r="B19" s="26" t="s">
        <v>37</v>
      </c>
      <c r="C19" s="27" t="s">
        <v>38</v>
      </c>
      <c r="D19" s="28" t="s">
        <v>22</v>
      </c>
      <c r="E19" s="29" t="n">
        <v>980000</v>
      </c>
      <c r="F19" s="30" t="n">
        <f aca="false">SUMIFS(Transactions!F:F,Transactions!C:C,B19,Transactions!E:E,"Inflow")</f>
        <v>555000</v>
      </c>
      <c r="G19" s="30" t="n">
        <f aca="false">SUMIFS(Transactions!F:F,Transactions!C:C,B19,Transactions!E:E,"Outflow")</f>
        <v>328132</v>
      </c>
      <c r="H19" s="30" t="n">
        <f aca="false">E19+F19-G19</f>
        <v>1206868</v>
      </c>
      <c r="I19" s="31" t="n">
        <f aca="false">IFERROR(G19/E19,0)</f>
        <v>0.334828571428571</v>
      </c>
      <c r="J19" s="32" t="str">
        <f aca="false">IF(I19&gt;1,"Over Budget",IF(I19&gt;0.85,"Review",IF(I19&gt;0.6,"Monitor","On Track")))</f>
        <v>On Track</v>
      </c>
    </row>
    <row r="20" customFormat="false" ht="25.5" hidden="false" customHeight="true" outlineLevel="0" collapsed="false">
      <c r="B20" s="33" t="s">
        <v>39</v>
      </c>
      <c r="C20" s="34"/>
      <c r="D20" s="34"/>
      <c r="E20" s="35" t="n">
        <f aca="false">SUM(E12:E19)</f>
        <v>5520000</v>
      </c>
      <c r="F20" s="35" t="n">
        <f aca="false">SUM(F12:F19)</f>
        <v>3370000</v>
      </c>
      <c r="G20" s="35" t="n">
        <f aca="false">SUM(G12:G19)</f>
        <v>2453048</v>
      </c>
      <c r="H20" s="35" t="n">
        <f aca="false">SUM(H12:H19)</f>
        <v>6436952</v>
      </c>
      <c r="I20" s="36" t="n">
        <f aca="false">IFERROR(G20/E20,0)</f>
        <v>0.444392753623188</v>
      </c>
      <c r="J20" s="37" t="str">
        <f aca="false">IF(I20&gt;1,"Over","OK")</f>
        <v>OK</v>
      </c>
    </row>
    <row r="22" customFormat="false" ht="13.5" hidden="false" customHeight="true" outlineLevel="0" collapsed="false"/>
    <row r="23" customFormat="false" ht="27.75" hidden="false" customHeight="true" outlineLevel="0" collapsed="false">
      <c r="B23" s="15" t="s">
        <v>40</v>
      </c>
      <c r="C23" s="15"/>
      <c r="D23" s="15"/>
      <c r="E23" s="15"/>
      <c r="F23" s="15"/>
      <c r="G23" s="15"/>
      <c r="H23" s="15"/>
      <c r="I23" s="15"/>
      <c r="J23" s="15"/>
    </row>
    <row r="24" customFormat="false" ht="21.75" hidden="false" customHeight="true" outlineLevel="0" collapsed="false">
      <c r="B24" s="38" t="s">
        <v>41</v>
      </c>
      <c r="C24" s="38"/>
      <c r="D24" s="38"/>
      <c r="E24" s="38"/>
      <c r="F24" s="38"/>
      <c r="G24" s="38"/>
      <c r="H24" s="38"/>
      <c r="I24" s="38"/>
      <c r="J24" s="38"/>
    </row>
    <row r="25" customFormat="false" ht="21.75" hidden="false" customHeight="true" outlineLevel="0" collapsed="false">
      <c r="B25" s="39" t="s">
        <v>42</v>
      </c>
      <c r="C25" s="39"/>
      <c r="D25" s="39"/>
      <c r="E25" s="39"/>
      <c r="F25" s="39"/>
      <c r="G25" s="39"/>
      <c r="H25" s="39"/>
      <c r="I25" s="39"/>
      <c r="J25" s="39"/>
    </row>
    <row r="26" customFormat="false" ht="21.75" hidden="false" customHeight="true" outlineLevel="0" collapsed="false">
      <c r="B26" s="38" t="s">
        <v>43</v>
      </c>
      <c r="C26" s="38"/>
      <c r="D26" s="38"/>
      <c r="E26" s="38"/>
      <c r="F26" s="38"/>
      <c r="G26" s="38"/>
      <c r="H26" s="38"/>
      <c r="I26" s="38"/>
      <c r="J26" s="38"/>
    </row>
    <row r="27" customFormat="false" ht="21.75" hidden="false" customHeight="true" outlineLevel="0" collapsed="false">
      <c r="B27" s="39" t="s">
        <v>44</v>
      </c>
      <c r="C27" s="39"/>
      <c r="D27" s="39"/>
      <c r="E27" s="39"/>
      <c r="F27" s="39"/>
      <c r="G27" s="39"/>
      <c r="H27" s="39"/>
      <c r="I27" s="39"/>
      <c r="J27" s="39"/>
    </row>
    <row r="29" customFormat="false" ht="18" hidden="false" customHeight="true" outlineLevel="0" collapsed="false">
      <c r="B29" s="40" t="s">
        <v>45</v>
      </c>
      <c r="C29" s="40"/>
      <c r="D29" s="40"/>
      <c r="E29" s="40"/>
      <c r="F29" s="40"/>
      <c r="G29" s="40"/>
      <c r="H29" s="40"/>
      <c r="I29" s="40"/>
      <c r="J29" s="40"/>
    </row>
    <row r="30" customFormat="false" ht="15.75" hidden="false" customHeight="true" outlineLevel="0" collapsed="false">
      <c r="B30" s="41" t="s">
        <v>46</v>
      </c>
      <c r="C30" s="41"/>
      <c r="D30" s="41"/>
      <c r="E30" s="41"/>
      <c r="F30" s="41"/>
      <c r="G30" s="41"/>
      <c r="H30" s="41"/>
      <c r="I30" s="41"/>
      <c r="J30" s="41"/>
    </row>
  </sheetData>
  <mergeCells count="23">
    <mergeCell ref="B2:J2"/>
    <mergeCell ref="B3:J3"/>
    <mergeCell ref="B5:D5"/>
    <mergeCell ref="E5:F5"/>
    <mergeCell ref="G5:H5"/>
    <mergeCell ref="I5:J5"/>
    <mergeCell ref="B6:D6"/>
    <mergeCell ref="E6:F6"/>
    <mergeCell ref="G6:H6"/>
    <mergeCell ref="I6:J6"/>
    <mergeCell ref="B7:D7"/>
    <mergeCell ref="E7:F7"/>
    <mergeCell ref="G7:H7"/>
    <mergeCell ref="I7:J7"/>
    <mergeCell ref="B10:J10"/>
    <mergeCell ref="C20:D20"/>
    <mergeCell ref="B23:J23"/>
    <mergeCell ref="B24:J24"/>
    <mergeCell ref="B25:J25"/>
    <mergeCell ref="B26:J26"/>
    <mergeCell ref="B27:J27"/>
    <mergeCell ref="B29:J29"/>
    <mergeCell ref="B30:J30"/>
  </mergeCells>
  <conditionalFormatting sqref="J12:J19">
    <cfRule type="expression" priority="2" aboveAverage="0" equalAverage="0" bottom="0" percent="0" rank="0" text="" dxfId="0">
      <formula>EXACT(J12,"Over Budget")</formula>
    </cfRule>
    <cfRule type="expression" priority="3" aboveAverage="0" equalAverage="0" bottom="0" percent="0" rank="0" text="" dxfId="1">
      <formula>EXACT(J12,"Review")</formula>
    </cfRule>
    <cfRule type="expression" priority="4" aboveAverage="0" equalAverage="0" bottom="0" percent="0" rank="0" text="" dxfId="2">
      <formula>EXACT(J12,"Monitor")</formula>
    </cfRule>
    <cfRule type="expression" priority="5" aboveAverage="0" equalAverage="0" bottom="0" percent="0" rank="0" text="" dxfId="3">
      <formula>EXACT(J12,"On Track")</formula>
    </cfRule>
  </conditionalFormatting>
  <conditionalFormatting sqref="I12:I19">
    <cfRule type="colorScale" priority="6">
      <colorScale>
        <cfvo type="num" val="0"/>
        <cfvo type="num" val="0.7"/>
        <cfvo type="num" val="1"/>
        <color rgb="FFCBE4CE"/>
        <color rgb="FFF5E6B8"/>
        <color rgb="FFF2D0C6"/>
      </colorScale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42" t="s">
        <v>47</v>
      </c>
      <c r="C1" s="42"/>
      <c r="D1" s="42"/>
      <c r="E1" s="42"/>
      <c r="F1" s="42"/>
      <c r="G1" s="42"/>
      <c r="H1" s="42"/>
      <c r="I1" s="42"/>
    </row>
    <row r="2" customFormat="false" ht="6" hidden="false" customHeight="true" outlineLevel="0" collapsed="false"/>
    <row r="3" customFormat="false" ht="27.75" hidden="false" customHeight="true" outlineLevel="0" collapsed="false">
      <c r="B3" s="43" t="s">
        <v>11</v>
      </c>
      <c r="C3" s="44" t="s">
        <v>12</v>
      </c>
      <c r="D3" s="43" t="s">
        <v>13</v>
      </c>
      <c r="E3" s="43" t="s">
        <v>48</v>
      </c>
      <c r="F3" s="43" t="s">
        <v>49</v>
      </c>
      <c r="G3" s="43" t="s">
        <v>50</v>
      </c>
      <c r="H3" s="43" t="s">
        <v>19</v>
      </c>
      <c r="I3" s="43" t="s">
        <v>51</v>
      </c>
    </row>
    <row r="4" customFormat="false" ht="21.75" hidden="false" customHeight="true" outlineLevel="0" collapsed="false">
      <c r="B4" s="45" t="s">
        <v>20</v>
      </c>
      <c r="C4" s="20" t="s">
        <v>21</v>
      </c>
      <c r="D4" s="21" t="s">
        <v>22</v>
      </c>
      <c r="E4" s="46" t="n">
        <v>45474</v>
      </c>
      <c r="F4" s="46" t="n">
        <v>45838</v>
      </c>
      <c r="G4" s="22" t="n">
        <v>1250000</v>
      </c>
      <c r="H4" s="25" t="s">
        <v>52</v>
      </c>
      <c r="I4" s="21" t="s">
        <v>53</v>
      </c>
    </row>
    <row r="5" customFormat="false" ht="21.75" hidden="false" customHeight="true" outlineLevel="0" collapsed="false">
      <c r="B5" s="47" t="s">
        <v>23</v>
      </c>
      <c r="C5" s="27" t="s">
        <v>24</v>
      </c>
      <c r="D5" s="28" t="s">
        <v>25</v>
      </c>
      <c r="E5" s="48" t="n">
        <v>45566</v>
      </c>
      <c r="F5" s="48" t="n">
        <v>45930</v>
      </c>
      <c r="G5" s="29" t="n">
        <v>850000</v>
      </c>
      <c r="H5" s="32" t="s">
        <v>52</v>
      </c>
      <c r="I5" s="28" t="s">
        <v>53</v>
      </c>
    </row>
    <row r="6" customFormat="false" ht="21.75" hidden="false" customHeight="true" outlineLevel="0" collapsed="false">
      <c r="B6" s="45" t="s">
        <v>26</v>
      </c>
      <c r="C6" s="20" t="s">
        <v>27</v>
      </c>
      <c r="D6" s="21" t="s">
        <v>25</v>
      </c>
      <c r="E6" s="46" t="n">
        <v>45566</v>
      </c>
      <c r="F6" s="46" t="n">
        <v>45930</v>
      </c>
      <c r="G6" s="22" t="n">
        <v>620000</v>
      </c>
      <c r="H6" s="25" t="s">
        <v>52</v>
      </c>
      <c r="I6" s="21" t="s">
        <v>53</v>
      </c>
    </row>
    <row r="7" customFormat="false" ht="21.75" hidden="false" customHeight="true" outlineLevel="0" collapsed="false">
      <c r="B7" s="47" t="s">
        <v>28</v>
      </c>
      <c r="C7" s="27" t="s">
        <v>29</v>
      </c>
      <c r="D7" s="28" t="s">
        <v>22</v>
      </c>
      <c r="E7" s="48" t="n">
        <v>45474</v>
      </c>
      <c r="F7" s="48" t="n">
        <v>45838</v>
      </c>
      <c r="G7" s="29" t="n">
        <v>185000</v>
      </c>
      <c r="H7" s="32" t="s">
        <v>52</v>
      </c>
      <c r="I7" s="28" t="s">
        <v>53</v>
      </c>
    </row>
    <row r="8" customFormat="false" ht="21.75" hidden="false" customHeight="true" outlineLevel="0" collapsed="false">
      <c r="B8" s="45" t="s">
        <v>30</v>
      </c>
      <c r="C8" s="20" t="s">
        <v>31</v>
      </c>
      <c r="D8" s="21" t="s">
        <v>32</v>
      </c>
      <c r="E8" s="46" t="n">
        <v>45474</v>
      </c>
      <c r="F8" s="46" t="n">
        <v>45838</v>
      </c>
      <c r="G8" s="22" t="n">
        <v>60000</v>
      </c>
      <c r="H8" s="25" t="s">
        <v>52</v>
      </c>
      <c r="I8" s="21" t="s">
        <v>53</v>
      </c>
    </row>
    <row r="9" customFormat="false" ht="21.75" hidden="false" customHeight="true" outlineLevel="0" collapsed="false">
      <c r="B9" s="47" t="s">
        <v>33</v>
      </c>
      <c r="C9" s="27" t="s">
        <v>34</v>
      </c>
      <c r="D9" s="28" t="s">
        <v>22</v>
      </c>
      <c r="E9" s="48" t="n">
        <v>45474</v>
      </c>
      <c r="F9" s="48" t="n">
        <v>45838</v>
      </c>
      <c r="G9" s="29" t="n">
        <v>425000</v>
      </c>
      <c r="H9" s="32" t="s">
        <v>52</v>
      </c>
      <c r="I9" s="28" t="s">
        <v>53</v>
      </c>
    </row>
    <row r="10" customFormat="false" ht="21.75" hidden="false" customHeight="true" outlineLevel="0" collapsed="false">
      <c r="B10" s="45" t="s">
        <v>35</v>
      </c>
      <c r="C10" s="20" t="s">
        <v>36</v>
      </c>
      <c r="D10" s="21" t="s">
        <v>25</v>
      </c>
      <c r="E10" s="46" t="n">
        <v>45566</v>
      </c>
      <c r="F10" s="46" t="n">
        <v>45930</v>
      </c>
      <c r="G10" s="22" t="n">
        <v>1150000</v>
      </c>
      <c r="H10" s="25" t="s">
        <v>52</v>
      </c>
      <c r="I10" s="21" t="s">
        <v>53</v>
      </c>
    </row>
    <row r="11" customFormat="false" ht="21.75" hidden="false" customHeight="true" outlineLevel="0" collapsed="false">
      <c r="B11" s="47" t="s">
        <v>37</v>
      </c>
      <c r="C11" s="27" t="s">
        <v>38</v>
      </c>
      <c r="D11" s="28" t="s">
        <v>22</v>
      </c>
      <c r="E11" s="48" t="n">
        <v>45474</v>
      </c>
      <c r="F11" s="48" t="n">
        <v>45838</v>
      </c>
      <c r="G11" s="29" t="n">
        <v>980000</v>
      </c>
      <c r="H11" s="32" t="s">
        <v>52</v>
      </c>
      <c r="I11" s="28" t="s">
        <v>53</v>
      </c>
    </row>
    <row r="14" customFormat="false" ht="18" hidden="false" customHeight="true" outlineLevel="0" collapsed="false">
      <c r="B14" s="40" t="s">
        <v>45</v>
      </c>
      <c r="C14" s="40"/>
      <c r="D14" s="40"/>
      <c r="E14" s="40"/>
      <c r="F14" s="40"/>
      <c r="G14" s="40"/>
      <c r="H14" s="40"/>
      <c r="I14" s="40"/>
    </row>
  </sheetData>
  <mergeCells count="2">
    <mergeCell ref="B1:I1"/>
    <mergeCell ref="B14:I1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42" t="s">
        <v>54</v>
      </c>
      <c r="C1" s="42"/>
      <c r="D1" s="42"/>
      <c r="E1" s="42"/>
      <c r="F1" s="42"/>
      <c r="G1" s="42"/>
      <c r="H1" s="42"/>
      <c r="I1" s="42"/>
    </row>
    <row r="2" customFormat="false" ht="6" hidden="false" customHeight="true" outlineLevel="0" collapsed="false"/>
    <row r="3" customFormat="false" ht="27.75" hidden="false" customHeight="true" outlineLevel="0" collapsed="false">
      <c r="B3" s="43" t="s">
        <v>55</v>
      </c>
      <c r="C3" s="43" t="s">
        <v>56</v>
      </c>
      <c r="D3" s="43" t="s">
        <v>57</v>
      </c>
      <c r="E3" s="43" t="s">
        <v>58</v>
      </c>
      <c r="F3" s="43" t="s">
        <v>59</v>
      </c>
      <c r="G3" s="43" t="s">
        <v>13</v>
      </c>
      <c r="H3" s="43" t="s">
        <v>60</v>
      </c>
      <c r="I3" s="43" t="s">
        <v>61</v>
      </c>
    </row>
    <row r="4" customFormat="false" ht="18" hidden="false" customHeight="true" outlineLevel="0" collapsed="false">
      <c r="B4" s="49" t="n">
        <v>45672</v>
      </c>
      <c r="C4" s="50" t="s">
        <v>23</v>
      </c>
      <c r="D4" s="51" t="s">
        <v>62</v>
      </c>
      <c r="E4" s="52" t="s">
        <v>63</v>
      </c>
      <c r="F4" s="53" t="n">
        <v>18365</v>
      </c>
      <c r="G4" s="51" t="s">
        <v>62</v>
      </c>
      <c r="H4" s="54" t="s">
        <v>64</v>
      </c>
      <c r="I4" s="55" t="s">
        <v>65</v>
      </c>
    </row>
    <row r="5" customFormat="false" ht="18" hidden="false" customHeight="true" outlineLevel="0" collapsed="false">
      <c r="B5" s="56" t="n">
        <v>45672</v>
      </c>
      <c r="C5" s="57" t="s">
        <v>26</v>
      </c>
      <c r="D5" s="58" t="s">
        <v>66</v>
      </c>
      <c r="E5" s="59" t="s">
        <v>67</v>
      </c>
      <c r="F5" s="60" t="n">
        <v>75000</v>
      </c>
      <c r="G5" s="58" t="s">
        <v>66</v>
      </c>
      <c r="H5" s="61" t="s">
        <v>68</v>
      </c>
      <c r="I5" s="62" t="s">
        <v>69</v>
      </c>
    </row>
    <row r="6" customFormat="false" ht="18" hidden="false" customHeight="true" outlineLevel="0" collapsed="false">
      <c r="B6" s="49" t="n">
        <v>45672</v>
      </c>
      <c r="C6" s="50" t="s">
        <v>20</v>
      </c>
      <c r="D6" s="51" t="s">
        <v>70</v>
      </c>
      <c r="E6" s="63" t="s">
        <v>67</v>
      </c>
      <c r="F6" s="53" t="n">
        <v>125000</v>
      </c>
      <c r="G6" s="51" t="s">
        <v>70</v>
      </c>
      <c r="H6" s="54" t="s">
        <v>71</v>
      </c>
      <c r="I6" s="55" t="s">
        <v>72</v>
      </c>
    </row>
    <row r="7" customFormat="false" ht="18" hidden="false" customHeight="true" outlineLevel="0" collapsed="false">
      <c r="B7" s="56" t="n">
        <v>45685</v>
      </c>
      <c r="C7" s="57" t="s">
        <v>33</v>
      </c>
      <c r="D7" s="58" t="s">
        <v>73</v>
      </c>
      <c r="E7" s="64" t="s">
        <v>63</v>
      </c>
      <c r="F7" s="60" t="n">
        <v>13776</v>
      </c>
      <c r="G7" s="58" t="s">
        <v>73</v>
      </c>
      <c r="H7" s="61" t="s">
        <v>74</v>
      </c>
      <c r="I7" s="62" t="s">
        <v>75</v>
      </c>
    </row>
    <row r="8" customFormat="false" ht="18" hidden="false" customHeight="true" outlineLevel="0" collapsed="false">
      <c r="B8" s="49" t="n">
        <v>45685</v>
      </c>
      <c r="C8" s="50" t="s">
        <v>33</v>
      </c>
      <c r="D8" s="51" t="s">
        <v>73</v>
      </c>
      <c r="E8" s="52" t="s">
        <v>63</v>
      </c>
      <c r="F8" s="53" t="n">
        <v>31441</v>
      </c>
      <c r="G8" s="51" t="s">
        <v>73</v>
      </c>
      <c r="H8" s="54" t="s">
        <v>74</v>
      </c>
      <c r="I8" s="55" t="s">
        <v>75</v>
      </c>
    </row>
    <row r="9" customFormat="false" ht="18" hidden="false" customHeight="true" outlineLevel="0" collapsed="false">
      <c r="B9" s="56" t="n">
        <v>45685</v>
      </c>
      <c r="C9" s="57" t="s">
        <v>30</v>
      </c>
      <c r="D9" s="58" t="s">
        <v>76</v>
      </c>
      <c r="E9" s="59" t="s">
        <v>67</v>
      </c>
      <c r="F9" s="60" t="n">
        <v>12000</v>
      </c>
      <c r="G9" s="58" t="s">
        <v>76</v>
      </c>
      <c r="H9" s="61" t="s">
        <v>77</v>
      </c>
      <c r="I9" s="62" t="s">
        <v>78</v>
      </c>
    </row>
    <row r="10" customFormat="false" ht="18" hidden="false" customHeight="true" outlineLevel="0" collapsed="false">
      <c r="B10" s="49" t="n">
        <v>45685</v>
      </c>
      <c r="C10" s="50" t="s">
        <v>30</v>
      </c>
      <c r="D10" s="51" t="s">
        <v>79</v>
      </c>
      <c r="E10" s="52" t="s">
        <v>63</v>
      </c>
      <c r="F10" s="53" t="n">
        <v>11506</v>
      </c>
      <c r="G10" s="51" t="s">
        <v>79</v>
      </c>
      <c r="H10" s="54" t="s">
        <v>80</v>
      </c>
      <c r="I10" s="55" t="s">
        <v>81</v>
      </c>
    </row>
    <row r="11" customFormat="false" ht="18" hidden="false" customHeight="true" outlineLevel="0" collapsed="false">
      <c r="B11" s="56" t="n">
        <v>45685</v>
      </c>
      <c r="C11" s="57" t="s">
        <v>30</v>
      </c>
      <c r="D11" s="58" t="s">
        <v>79</v>
      </c>
      <c r="E11" s="64" t="s">
        <v>63</v>
      </c>
      <c r="F11" s="60" t="n">
        <v>8060</v>
      </c>
      <c r="G11" s="58" t="s">
        <v>79</v>
      </c>
      <c r="H11" s="61" t="s">
        <v>80</v>
      </c>
      <c r="I11" s="62" t="s">
        <v>81</v>
      </c>
    </row>
    <row r="12" customFormat="false" ht="18" hidden="false" customHeight="true" outlineLevel="0" collapsed="false">
      <c r="B12" s="49" t="n">
        <v>45685</v>
      </c>
      <c r="C12" s="50" t="s">
        <v>20</v>
      </c>
      <c r="D12" s="51" t="s">
        <v>82</v>
      </c>
      <c r="E12" s="63" t="s">
        <v>67</v>
      </c>
      <c r="F12" s="53" t="n">
        <v>88000</v>
      </c>
      <c r="G12" s="51" t="s">
        <v>82</v>
      </c>
      <c r="H12" s="54" t="s">
        <v>83</v>
      </c>
      <c r="I12" s="55" t="s">
        <v>84</v>
      </c>
    </row>
    <row r="13" customFormat="false" ht="18" hidden="false" customHeight="true" outlineLevel="0" collapsed="false">
      <c r="B13" s="56" t="n">
        <v>45685</v>
      </c>
      <c r="C13" s="57" t="s">
        <v>35</v>
      </c>
      <c r="D13" s="58" t="s">
        <v>66</v>
      </c>
      <c r="E13" s="59" t="s">
        <v>67</v>
      </c>
      <c r="F13" s="60" t="n">
        <v>290000</v>
      </c>
      <c r="G13" s="58" t="s">
        <v>66</v>
      </c>
      <c r="H13" s="61" t="s">
        <v>68</v>
      </c>
      <c r="I13" s="62" t="s">
        <v>69</v>
      </c>
    </row>
    <row r="14" customFormat="false" ht="18" hidden="false" customHeight="true" outlineLevel="0" collapsed="false">
      <c r="B14" s="49" t="n">
        <v>45698</v>
      </c>
      <c r="C14" s="50" t="s">
        <v>30</v>
      </c>
      <c r="D14" s="51" t="s">
        <v>85</v>
      </c>
      <c r="E14" s="63" t="s">
        <v>67</v>
      </c>
      <c r="F14" s="53" t="n">
        <v>15000</v>
      </c>
      <c r="G14" s="51" t="s">
        <v>85</v>
      </c>
      <c r="H14" s="54" t="s">
        <v>86</v>
      </c>
      <c r="I14" s="55" t="s">
        <v>87</v>
      </c>
    </row>
    <row r="15" customFormat="false" ht="18" hidden="false" customHeight="true" outlineLevel="0" collapsed="false">
      <c r="B15" s="56" t="n">
        <v>45698</v>
      </c>
      <c r="C15" s="57" t="s">
        <v>30</v>
      </c>
      <c r="D15" s="58" t="s">
        <v>88</v>
      </c>
      <c r="E15" s="64" t="s">
        <v>63</v>
      </c>
      <c r="F15" s="60" t="n">
        <v>8379</v>
      </c>
      <c r="G15" s="58" t="s">
        <v>88</v>
      </c>
      <c r="H15" s="61" t="s">
        <v>89</v>
      </c>
      <c r="I15" s="62" t="s">
        <v>90</v>
      </c>
    </row>
    <row r="16" customFormat="false" ht="18" hidden="false" customHeight="true" outlineLevel="0" collapsed="false">
      <c r="B16" s="49" t="n">
        <v>45698</v>
      </c>
      <c r="C16" s="50" t="s">
        <v>30</v>
      </c>
      <c r="D16" s="51" t="s">
        <v>79</v>
      </c>
      <c r="E16" s="52" t="s">
        <v>63</v>
      </c>
      <c r="F16" s="53" t="n">
        <v>11484</v>
      </c>
      <c r="G16" s="51" t="s">
        <v>79</v>
      </c>
      <c r="H16" s="54" t="s">
        <v>80</v>
      </c>
      <c r="I16" s="55" t="s">
        <v>81</v>
      </c>
    </row>
    <row r="17" customFormat="false" ht="18" hidden="false" customHeight="true" outlineLevel="0" collapsed="false">
      <c r="B17" s="56" t="n">
        <v>45698</v>
      </c>
      <c r="C17" s="57" t="s">
        <v>23</v>
      </c>
      <c r="D17" s="58" t="s">
        <v>66</v>
      </c>
      <c r="E17" s="59" t="s">
        <v>67</v>
      </c>
      <c r="F17" s="60" t="n">
        <v>85000</v>
      </c>
      <c r="G17" s="58" t="s">
        <v>66</v>
      </c>
      <c r="H17" s="61" t="s">
        <v>68</v>
      </c>
      <c r="I17" s="62" t="s">
        <v>69</v>
      </c>
    </row>
    <row r="18" customFormat="false" ht="18" hidden="false" customHeight="true" outlineLevel="0" collapsed="false">
      <c r="B18" s="49" t="n">
        <v>45698</v>
      </c>
      <c r="C18" s="50" t="s">
        <v>23</v>
      </c>
      <c r="D18" s="51" t="s">
        <v>91</v>
      </c>
      <c r="E18" s="52" t="s">
        <v>63</v>
      </c>
      <c r="F18" s="53" t="n">
        <v>35666</v>
      </c>
      <c r="G18" s="51" t="s">
        <v>91</v>
      </c>
      <c r="H18" s="54" t="s">
        <v>92</v>
      </c>
      <c r="I18" s="55" t="s">
        <v>93</v>
      </c>
    </row>
    <row r="19" customFormat="false" ht="18" hidden="false" customHeight="true" outlineLevel="0" collapsed="false">
      <c r="B19" s="56" t="n">
        <v>45698</v>
      </c>
      <c r="C19" s="57" t="s">
        <v>20</v>
      </c>
      <c r="D19" s="58" t="s">
        <v>94</v>
      </c>
      <c r="E19" s="64" t="s">
        <v>63</v>
      </c>
      <c r="F19" s="60" t="n">
        <v>24898</v>
      </c>
      <c r="G19" s="58" t="s">
        <v>94</v>
      </c>
      <c r="H19" s="61" t="s">
        <v>95</v>
      </c>
      <c r="I19" s="62" t="s">
        <v>96</v>
      </c>
    </row>
    <row r="20" customFormat="false" ht="18" hidden="false" customHeight="true" outlineLevel="0" collapsed="false">
      <c r="B20" s="49" t="n">
        <v>45698</v>
      </c>
      <c r="C20" s="50" t="s">
        <v>37</v>
      </c>
      <c r="D20" s="51" t="s">
        <v>97</v>
      </c>
      <c r="E20" s="52" t="s">
        <v>63</v>
      </c>
      <c r="F20" s="53" t="n">
        <v>13180</v>
      </c>
      <c r="G20" s="51" t="s">
        <v>97</v>
      </c>
      <c r="H20" s="54" t="s">
        <v>98</v>
      </c>
      <c r="I20" s="55" t="s">
        <v>99</v>
      </c>
    </row>
    <row r="21" customFormat="false" ht="18" hidden="false" customHeight="true" outlineLevel="0" collapsed="false">
      <c r="B21" s="56" t="n">
        <v>45698</v>
      </c>
      <c r="C21" s="57" t="s">
        <v>37</v>
      </c>
      <c r="D21" s="58" t="s">
        <v>100</v>
      </c>
      <c r="E21" s="64" t="s">
        <v>63</v>
      </c>
      <c r="F21" s="60" t="n">
        <v>20957</v>
      </c>
      <c r="G21" s="58" t="s">
        <v>100</v>
      </c>
      <c r="H21" s="61" t="s">
        <v>101</v>
      </c>
      <c r="I21" s="62" t="s">
        <v>102</v>
      </c>
    </row>
    <row r="22" customFormat="false" ht="18" hidden="false" customHeight="true" outlineLevel="0" collapsed="false">
      <c r="B22" s="49" t="n">
        <v>45698</v>
      </c>
      <c r="C22" s="50" t="s">
        <v>28</v>
      </c>
      <c r="D22" s="51" t="s">
        <v>103</v>
      </c>
      <c r="E22" s="52" t="s">
        <v>63</v>
      </c>
      <c r="F22" s="53" t="n">
        <v>1352</v>
      </c>
      <c r="G22" s="51" t="s">
        <v>103</v>
      </c>
      <c r="H22" s="54" t="s">
        <v>104</v>
      </c>
      <c r="I22" s="55" t="s">
        <v>105</v>
      </c>
    </row>
    <row r="23" customFormat="false" ht="18" hidden="false" customHeight="true" outlineLevel="0" collapsed="false">
      <c r="B23" s="56" t="n">
        <v>45710</v>
      </c>
      <c r="C23" s="57" t="s">
        <v>30</v>
      </c>
      <c r="D23" s="58" t="s">
        <v>76</v>
      </c>
      <c r="E23" s="59" t="s">
        <v>67</v>
      </c>
      <c r="F23" s="60" t="n">
        <v>22000</v>
      </c>
      <c r="G23" s="58" t="s">
        <v>76</v>
      </c>
      <c r="H23" s="61" t="s">
        <v>77</v>
      </c>
      <c r="I23" s="62" t="s">
        <v>78</v>
      </c>
    </row>
    <row r="24" customFormat="false" ht="18" hidden="false" customHeight="true" outlineLevel="0" collapsed="false">
      <c r="B24" s="49" t="n">
        <v>45710</v>
      </c>
      <c r="C24" s="50" t="s">
        <v>30</v>
      </c>
      <c r="D24" s="51" t="s">
        <v>106</v>
      </c>
      <c r="E24" s="52" t="s">
        <v>63</v>
      </c>
      <c r="F24" s="53" t="n">
        <v>7396</v>
      </c>
      <c r="G24" s="51" t="s">
        <v>106</v>
      </c>
      <c r="H24" s="54" t="s">
        <v>107</v>
      </c>
      <c r="I24" s="55" t="s">
        <v>108</v>
      </c>
    </row>
    <row r="25" customFormat="false" ht="18" hidden="false" customHeight="true" outlineLevel="0" collapsed="false">
      <c r="B25" s="56" t="n">
        <v>45710</v>
      </c>
      <c r="C25" s="57" t="s">
        <v>26</v>
      </c>
      <c r="D25" s="58" t="s">
        <v>109</v>
      </c>
      <c r="E25" s="64" t="s">
        <v>63</v>
      </c>
      <c r="F25" s="60" t="n">
        <v>37021</v>
      </c>
      <c r="G25" s="58" t="s">
        <v>109</v>
      </c>
      <c r="H25" s="61" t="s">
        <v>110</v>
      </c>
      <c r="I25" s="62" t="s">
        <v>111</v>
      </c>
    </row>
    <row r="26" customFormat="false" ht="18" hidden="false" customHeight="true" outlineLevel="0" collapsed="false">
      <c r="B26" s="49" t="n">
        <v>45710</v>
      </c>
      <c r="C26" s="50" t="s">
        <v>20</v>
      </c>
      <c r="D26" s="51" t="s">
        <v>112</v>
      </c>
      <c r="E26" s="52" t="s">
        <v>63</v>
      </c>
      <c r="F26" s="53" t="n">
        <v>5478</v>
      </c>
      <c r="G26" s="51" t="s">
        <v>112</v>
      </c>
      <c r="H26" s="54" t="s">
        <v>113</v>
      </c>
      <c r="I26" s="55" t="s">
        <v>114</v>
      </c>
    </row>
    <row r="27" customFormat="false" ht="18" hidden="false" customHeight="true" outlineLevel="0" collapsed="false">
      <c r="B27" s="56" t="n">
        <v>45710</v>
      </c>
      <c r="C27" s="57" t="s">
        <v>35</v>
      </c>
      <c r="D27" s="58" t="s">
        <v>115</v>
      </c>
      <c r="E27" s="64" t="s">
        <v>63</v>
      </c>
      <c r="F27" s="60" t="n">
        <v>96657</v>
      </c>
      <c r="G27" s="58" t="s">
        <v>115</v>
      </c>
      <c r="H27" s="61" t="s">
        <v>116</v>
      </c>
      <c r="I27" s="62" t="s">
        <v>117</v>
      </c>
    </row>
    <row r="28" customFormat="false" ht="18" hidden="false" customHeight="true" outlineLevel="0" collapsed="false">
      <c r="B28" s="49" t="n">
        <v>45710</v>
      </c>
      <c r="C28" s="50" t="s">
        <v>28</v>
      </c>
      <c r="D28" s="51" t="s">
        <v>103</v>
      </c>
      <c r="E28" s="52" t="s">
        <v>63</v>
      </c>
      <c r="F28" s="53" t="n">
        <v>1229</v>
      </c>
      <c r="G28" s="51" t="s">
        <v>103</v>
      </c>
      <c r="H28" s="54" t="s">
        <v>104</v>
      </c>
      <c r="I28" s="55" t="s">
        <v>105</v>
      </c>
    </row>
    <row r="29" customFormat="false" ht="18" hidden="false" customHeight="true" outlineLevel="0" collapsed="false">
      <c r="B29" s="56" t="n">
        <v>45721</v>
      </c>
      <c r="C29" s="57" t="s">
        <v>33</v>
      </c>
      <c r="D29" s="58" t="s">
        <v>118</v>
      </c>
      <c r="E29" s="64" t="s">
        <v>63</v>
      </c>
      <c r="F29" s="60" t="n">
        <v>17361</v>
      </c>
      <c r="G29" s="58" t="s">
        <v>118</v>
      </c>
      <c r="H29" s="61" t="s">
        <v>119</v>
      </c>
      <c r="I29" s="62" t="s">
        <v>120</v>
      </c>
    </row>
    <row r="30" customFormat="false" ht="18" hidden="false" customHeight="true" outlineLevel="0" collapsed="false">
      <c r="B30" s="49" t="n">
        <v>45721</v>
      </c>
      <c r="C30" s="50" t="s">
        <v>30</v>
      </c>
      <c r="D30" s="51" t="s">
        <v>121</v>
      </c>
      <c r="E30" s="52" t="s">
        <v>63</v>
      </c>
      <c r="F30" s="53" t="n">
        <v>9586</v>
      </c>
      <c r="G30" s="51" t="s">
        <v>121</v>
      </c>
      <c r="H30" s="54" t="s">
        <v>122</v>
      </c>
      <c r="I30" s="55" t="s">
        <v>123</v>
      </c>
    </row>
    <row r="31" customFormat="false" ht="18" hidden="false" customHeight="true" outlineLevel="0" collapsed="false">
      <c r="B31" s="56" t="n">
        <v>45721</v>
      </c>
      <c r="C31" s="57" t="s">
        <v>20</v>
      </c>
      <c r="D31" s="58" t="s">
        <v>70</v>
      </c>
      <c r="E31" s="59" t="s">
        <v>67</v>
      </c>
      <c r="F31" s="60" t="n">
        <v>140000</v>
      </c>
      <c r="G31" s="58" t="s">
        <v>70</v>
      </c>
      <c r="H31" s="61" t="s">
        <v>71</v>
      </c>
      <c r="I31" s="62" t="s">
        <v>72</v>
      </c>
    </row>
    <row r="32" customFormat="false" ht="18" hidden="false" customHeight="true" outlineLevel="0" collapsed="false">
      <c r="B32" s="49" t="n">
        <v>45721</v>
      </c>
      <c r="C32" s="50" t="s">
        <v>20</v>
      </c>
      <c r="D32" s="51" t="s">
        <v>124</v>
      </c>
      <c r="E32" s="52" t="s">
        <v>63</v>
      </c>
      <c r="F32" s="53" t="n">
        <v>7181</v>
      </c>
      <c r="G32" s="51" t="s">
        <v>124</v>
      </c>
      <c r="H32" s="54" t="s">
        <v>125</v>
      </c>
      <c r="I32" s="55" t="s">
        <v>126</v>
      </c>
    </row>
    <row r="33" customFormat="false" ht="18" hidden="false" customHeight="true" outlineLevel="0" collapsed="false">
      <c r="B33" s="56" t="n">
        <v>45721</v>
      </c>
      <c r="C33" s="57" t="s">
        <v>35</v>
      </c>
      <c r="D33" s="58" t="s">
        <v>115</v>
      </c>
      <c r="E33" s="64" t="s">
        <v>63</v>
      </c>
      <c r="F33" s="60" t="n">
        <v>104629</v>
      </c>
      <c r="G33" s="58" t="s">
        <v>115</v>
      </c>
      <c r="H33" s="61" t="s">
        <v>116</v>
      </c>
      <c r="I33" s="62" t="s">
        <v>117</v>
      </c>
    </row>
    <row r="34" customFormat="false" ht="18" hidden="false" customHeight="true" outlineLevel="0" collapsed="false">
      <c r="B34" s="49" t="n">
        <v>45721</v>
      </c>
      <c r="C34" s="50" t="s">
        <v>28</v>
      </c>
      <c r="D34" s="51" t="s">
        <v>127</v>
      </c>
      <c r="E34" s="63" t="s">
        <v>67</v>
      </c>
      <c r="F34" s="53" t="n">
        <v>40000</v>
      </c>
      <c r="G34" s="51" t="s">
        <v>127</v>
      </c>
      <c r="H34" s="54" t="s">
        <v>20</v>
      </c>
      <c r="I34" s="55" t="s">
        <v>128</v>
      </c>
    </row>
    <row r="35" customFormat="false" ht="18" hidden="false" customHeight="true" outlineLevel="0" collapsed="false">
      <c r="B35" s="56" t="n">
        <v>45734</v>
      </c>
      <c r="C35" s="57" t="s">
        <v>33</v>
      </c>
      <c r="D35" s="58" t="s">
        <v>73</v>
      </c>
      <c r="E35" s="64" t="s">
        <v>63</v>
      </c>
      <c r="F35" s="60" t="n">
        <v>20140</v>
      </c>
      <c r="G35" s="58" t="s">
        <v>73</v>
      </c>
      <c r="H35" s="61" t="s">
        <v>74</v>
      </c>
      <c r="I35" s="62" t="s">
        <v>75</v>
      </c>
    </row>
    <row r="36" customFormat="false" ht="18" hidden="false" customHeight="true" outlineLevel="0" collapsed="false">
      <c r="B36" s="49" t="n">
        <v>45734</v>
      </c>
      <c r="C36" s="50" t="s">
        <v>30</v>
      </c>
      <c r="D36" s="51" t="s">
        <v>79</v>
      </c>
      <c r="E36" s="52" t="s">
        <v>63</v>
      </c>
      <c r="F36" s="53" t="n">
        <v>7370</v>
      </c>
      <c r="G36" s="51" t="s">
        <v>79</v>
      </c>
      <c r="H36" s="54" t="s">
        <v>80</v>
      </c>
      <c r="I36" s="55" t="s">
        <v>81</v>
      </c>
    </row>
    <row r="37" customFormat="false" ht="18" hidden="false" customHeight="true" outlineLevel="0" collapsed="false">
      <c r="B37" s="56" t="n">
        <v>45734</v>
      </c>
      <c r="C37" s="57" t="s">
        <v>23</v>
      </c>
      <c r="D37" s="58" t="s">
        <v>91</v>
      </c>
      <c r="E37" s="64" t="s">
        <v>63</v>
      </c>
      <c r="F37" s="60" t="n">
        <v>25261</v>
      </c>
      <c r="G37" s="58" t="s">
        <v>91</v>
      </c>
      <c r="H37" s="61" t="s">
        <v>92</v>
      </c>
      <c r="I37" s="62" t="s">
        <v>93</v>
      </c>
    </row>
    <row r="38" customFormat="false" ht="18" hidden="false" customHeight="true" outlineLevel="0" collapsed="false">
      <c r="B38" s="49" t="n">
        <v>45734</v>
      </c>
      <c r="C38" s="50" t="s">
        <v>26</v>
      </c>
      <c r="D38" s="51" t="s">
        <v>129</v>
      </c>
      <c r="E38" s="52" t="s">
        <v>63</v>
      </c>
      <c r="F38" s="53" t="n">
        <v>36148</v>
      </c>
      <c r="G38" s="51" t="s">
        <v>129</v>
      </c>
      <c r="H38" s="54" t="s">
        <v>130</v>
      </c>
      <c r="I38" s="55" t="s">
        <v>117</v>
      </c>
    </row>
    <row r="39" customFormat="false" ht="18" hidden="false" customHeight="true" outlineLevel="0" collapsed="false">
      <c r="B39" s="56" t="n">
        <v>45734</v>
      </c>
      <c r="C39" s="57" t="s">
        <v>20</v>
      </c>
      <c r="D39" s="58" t="s">
        <v>94</v>
      </c>
      <c r="E39" s="64" t="s">
        <v>63</v>
      </c>
      <c r="F39" s="60" t="n">
        <v>22460</v>
      </c>
      <c r="G39" s="58" t="s">
        <v>94</v>
      </c>
      <c r="H39" s="61" t="s">
        <v>95</v>
      </c>
      <c r="I39" s="62" t="s">
        <v>96</v>
      </c>
    </row>
    <row r="40" customFormat="false" ht="18" hidden="false" customHeight="true" outlineLevel="0" collapsed="false">
      <c r="B40" s="49" t="n">
        <v>45734</v>
      </c>
      <c r="C40" s="50" t="s">
        <v>20</v>
      </c>
      <c r="D40" s="51" t="s">
        <v>94</v>
      </c>
      <c r="E40" s="52" t="s">
        <v>63</v>
      </c>
      <c r="F40" s="53" t="n">
        <v>7508</v>
      </c>
      <c r="G40" s="51" t="s">
        <v>94</v>
      </c>
      <c r="H40" s="54" t="s">
        <v>95</v>
      </c>
      <c r="I40" s="55" t="s">
        <v>96</v>
      </c>
    </row>
    <row r="41" customFormat="false" ht="18" hidden="false" customHeight="true" outlineLevel="0" collapsed="false">
      <c r="B41" s="56" t="n">
        <v>45734</v>
      </c>
      <c r="C41" s="57" t="s">
        <v>37</v>
      </c>
      <c r="D41" s="58" t="s">
        <v>70</v>
      </c>
      <c r="E41" s="59" t="s">
        <v>67</v>
      </c>
      <c r="F41" s="60" t="n">
        <v>100000</v>
      </c>
      <c r="G41" s="58" t="s">
        <v>70</v>
      </c>
      <c r="H41" s="61" t="s">
        <v>71</v>
      </c>
      <c r="I41" s="62" t="s">
        <v>72</v>
      </c>
    </row>
    <row r="42" customFormat="false" ht="18" hidden="false" customHeight="true" outlineLevel="0" collapsed="false">
      <c r="B42" s="49" t="n">
        <v>45744</v>
      </c>
      <c r="C42" s="50" t="s">
        <v>33</v>
      </c>
      <c r="D42" s="51" t="s">
        <v>118</v>
      </c>
      <c r="E42" s="52" t="s">
        <v>63</v>
      </c>
      <c r="F42" s="53" t="n">
        <v>9722</v>
      </c>
      <c r="G42" s="51" t="s">
        <v>118</v>
      </c>
      <c r="H42" s="54" t="s">
        <v>119</v>
      </c>
      <c r="I42" s="55" t="s">
        <v>120</v>
      </c>
    </row>
    <row r="43" customFormat="false" ht="18" hidden="false" customHeight="true" outlineLevel="0" collapsed="false">
      <c r="B43" s="56" t="n">
        <v>45744</v>
      </c>
      <c r="C43" s="57" t="s">
        <v>30</v>
      </c>
      <c r="D43" s="58" t="s">
        <v>88</v>
      </c>
      <c r="E43" s="64" t="s">
        <v>63</v>
      </c>
      <c r="F43" s="60" t="n">
        <v>4873</v>
      </c>
      <c r="G43" s="58" t="s">
        <v>88</v>
      </c>
      <c r="H43" s="61" t="s">
        <v>89</v>
      </c>
      <c r="I43" s="62" t="s">
        <v>90</v>
      </c>
    </row>
    <row r="44" customFormat="false" ht="18" hidden="false" customHeight="true" outlineLevel="0" collapsed="false">
      <c r="B44" s="49" t="n">
        <v>45744</v>
      </c>
      <c r="C44" s="50" t="s">
        <v>30</v>
      </c>
      <c r="D44" s="51" t="s">
        <v>121</v>
      </c>
      <c r="E44" s="52" t="s">
        <v>63</v>
      </c>
      <c r="F44" s="53" t="n">
        <v>8756</v>
      </c>
      <c r="G44" s="51" t="s">
        <v>121</v>
      </c>
      <c r="H44" s="54" t="s">
        <v>122</v>
      </c>
      <c r="I44" s="55" t="s">
        <v>123</v>
      </c>
    </row>
    <row r="45" customFormat="false" ht="18" hidden="false" customHeight="true" outlineLevel="0" collapsed="false">
      <c r="B45" s="56" t="n">
        <v>45744</v>
      </c>
      <c r="C45" s="57" t="s">
        <v>20</v>
      </c>
      <c r="D45" s="58" t="s">
        <v>124</v>
      </c>
      <c r="E45" s="64" t="s">
        <v>63</v>
      </c>
      <c r="F45" s="60" t="n">
        <v>14630</v>
      </c>
      <c r="G45" s="58" t="s">
        <v>124</v>
      </c>
      <c r="H45" s="61" t="s">
        <v>125</v>
      </c>
      <c r="I45" s="62" t="s">
        <v>126</v>
      </c>
    </row>
    <row r="46" customFormat="false" ht="18" hidden="false" customHeight="true" outlineLevel="0" collapsed="false">
      <c r="B46" s="49" t="n">
        <v>45744</v>
      </c>
      <c r="C46" s="50" t="s">
        <v>20</v>
      </c>
      <c r="D46" s="51" t="s">
        <v>112</v>
      </c>
      <c r="E46" s="52" t="s">
        <v>63</v>
      </c>
      <c r="F46" s="53" t="n">
        <v>11273</v>
      </c>
      <c r="G46" s="51" t="s">
        <v>112</v>
      </c>
      <c r="H46" s="54" t="s">
        <v>113</v>
      </c>
      <c r="I46" s="55" t="s">
        <v>114</v>
      </c>
    </row>
    <row r="47" customFormat="false" ht="18" hidden="false" customHeight="true" outlineLevel="0" collapsed="false">
      <c r="B47" s="56" t="n">
        <v>45744</v>
      </c>
      <c r="C47" s="57" t="s">
        <v>37</v>
      </c>
      <c r="D47" s="58" t="s">
        <v>131</v>
      </c>
      <c r="E47" s="64" t="s">
        <v>63</v>
      </c>
      <c r="F47" s="60" t="n">
        <v>22965</v>
      </c>
      <c r="G47" s="58" t="s">
        <v>131</v>
      </c>
      <c r="H47" s="61" t="s">
        <v>132</v>
      </c>
      <c r="I47" s="62" t="s">
        <v>133</v>
      </c>
    </row>
    <row r="48" customFormat="false" ht="18" hidden="false" customHeight="true" outlineLevel="0" collapsed="false">
      <c r="B48" s="49" t="n">
        <v>45744</v>
      </c>
      <c r="C48" s="50" t="s">
        <v>28</v>
      </c>
      <c r="D48" s="51" t="s">
        <v>134</v>
      </c>
      <c r="E48" s="52" t="s">
        <v>63</v>
      </c>
      <c r="F48" s="53" t="n">
        <v>3190</v>
      </c>
      <c r="G48" s="51" t="s">
        <v>134</v>
      </c>
      <c r="H48" s="54" t="s">
        <v>135</v>
      </c>
      <c r="I48" s="55" t="s">
        <v>136</v>
      </c>
    </row>
    <row r="49" customFormat="false" ht="18" hidden="false" customHeight="true" outlineLevel="0" collapsed="false">
      <c r="B49" s="56" t="n">
        <v>45755</v>
      </c>
      <c r="C49" s="57" t="s">
        <v>23</v>
      </c>
      <c r="D49" s="58" t="s">
        <v>66</v>
      </c>
      <c r="E49" s="59" t="s">
        <v>67</v>
      </c>
      <c r="F49" s="60" t="n">
        <v>95000</v>
      </c>
      <c r="G49" s="58" t="s">
        <v>66</v>
      </c>
      <c r="H49" s="61" t="s">
        <v>68</v>
      </c>
      <c r="I49" s="62" t="s">
        <v>69</v>
      </c>
    </row>
    <row r="50" customFormat="false" ht="18" hidden="false" customHeight="true" outlineLevel="0" collapsed="false">
      <c r="B50" s="49" t="n">
        <v>45755</v>
      </c>
      <c r="C50" s="50" t="s">
        <v>26</v>
      </c>
      <c r="D50" s="51" t="s">
        <v>66</v>
      </c>
      <c r="E50" s="63" t="s">
        <v>67</v>
      </c>
      <c r="F50" s="53" t="n">
        <v>62000</v>
      </c>
      <c r="G50" s="51" t="s">
        <v>66</v>
      </c>
      <c r="H50" s="54" t="s">
        <v>68</v>
      </c>
      <c r="I50" s="55" t="s">
        <v>69</v>
      </c>
    </row>
    <row r="51" customFormat="false" ht="18" hidden="false" customHeight="true" outlineLevel="0" collapsed="false">
      <c r="B51" s="56" t="n">
        <v>45755</v>
      </c>
      <c r="C51" s="57" t="s">
        <v>26</v>
      </c>
      <c r="D51" s="58" t="s">
        <v>137</v>
      </c>
      <c r="E51" s="64" t="s">
        <v>63</v>
      </c>
      <c r="F51" s="60" t="n">
        <v>28788</v>
      </c>
      <c r="G51" s="58" t="s">
        <v>137</v>
      </c>
      <c r="H51" s="61" t="s">
        <v>138</v>
      </c>
      <c r="I51" s="62" t="s">
        <v>139</v>
      </c>
    </row>
    <row r="52" customFormat="false" ht="18" hidden="false" customHeight="true" outlineLevel="0" collapsed="false">
      <c r="B52" s="49" t="n">
        <v>45755</v>
      </c>
      <c r="C52" s="50" t="s">
        <v>20</v>
      </c>
      <c r="D52" s="51" t="s">
        <v>82</v>
      </c>
      <c r="E52" s="63" t="s">
        <v>67</v>
      </c>
      <c r="F52" s="53" t="n">
        <v>105000</v>
      </c>
      <c r="G52" s="51" t="s">
        <v>82</v>
      </c>
      <c r="H52" s="54" t="s">
        <v>83</v>
      </c>
      <c r="I52" s="55" t="s">
        <v>84</v>
      </c>
    </row>
    <row r="53" customFormat="false" ht="18" hidden="false" customHeight="true" outlineLevel="0" collapsed="false">
      <c r="B53" s="56" t="n">
        <v>45755</v>
      </c>
      <c r="C53" s="57" t="s">
        <v>20</v>
      </c>
      <c r="D53" s="58" t="s">
        <v>94</v>
      </c>
      <c r="E53" s="64" t="s">
        <v>63</v>
      </c>
      <c r="F53" s="60" t="n">
        <v>20002</v>
      </c>
      <c r="G53" s="58" t="s">
        <v>94</v>
      </c>
      <c r="H53" s="61" t="s">
        <v>95</v>
      </c>
      <c r="I53" s="62" t="s">
        <v>96</v>
      </c>
    </row>
    <row r="54" customFormat="false" ht="18" hidden="false" customHeight="true" outlineLevel="0" collapsed="false">
      <c r="B54" s="49" t="n">
        <v>45755</v>
      </c>
      <c r="C54" s="50" t="s">
        <v>20</v>
      </c>
      <c r="D54" s="51" t="s">
        <v>112</v>
      </c>
      <c r="E54" s="52" t="s">
        <v>63</v>
      </c>
      <c r="F54" s="53" t="n">
        <v>13126</v>
      </c>
      <c r="G54" s="51" t="s">
        <v>112</v>
      </c>
      <c r="H54" s="54" t="s">
        <v>113</v>
      </c>
      <c r="I54" s="55" t="s">
        <v>114</v>
      </c>
    </row>
    <row r="55" customFormat="false" ht="18" hidden="false" customHeight="true" outlineLevel="0" collapsed="false">
      <c r="B55" s="56" t="n">
        <v>45755</v>
      </c>
      <c r="C55" s="57" t="s">
        <v>20</v>
      </c>
      <c r="D55" s="58" t="s">
        <v>124</v>
      </c>
      <c r="E55" s="64" t="s">
        <v>63</v>
      </c>
      <c r="F55" s="60" t="n">
        <v>15587</v>
      </c>
      <c r="G55" s="58" t="s">
        <v>124</v>
      </c>
      <c r="H55" s="61" t="s">
        <v>125</v>
      </c>
      <c r="I55" s="62" t="s">
        <v>126</v>
      </c>
    </row>
    <row r="56" customFormat="false" ht="18" hidden="false" customHeight="true" outlineLevel="0" collapsed="false">
      <c r="B56" s="49" t="n">
        <v>45755</v>
      </c>
      <c r="C56" s="50" t="s">
        <v>37</v>
      </c>
      <c r="D56" s="51" t="s">
        <v>70</v>
      </c>
      <c r="E56" s="63" t="s">
        <v>67</v>
      </c>
      <c r="F56" s="53" t="n">
        <v>110000</v>
      </c>
      <c r="G56" s="51" t="s">
        <v>70</v>
      </c>
      <c r="H56" s="54" t="s">
        <v>71</v>
      </c>
      <c r="I56" s="55" t="s">
        <v>72</v>
      </c>
    </row>
    <row r="57" customFormat="false" ht="18" hidden="false" customHeight="true" outlineLevel="0" collapsed="false">
      <c r="B57" s="56" t="n">
        <v>45755</v>
      </c>
      <c r="C57" s="57" t="s">
        <v>35</v>
      </c>
      <c r="D57" s="58" t="s">
        <v>115</v>
      </c>
      <c r="E57" s="64" t="s">
        <v>63</v>
      </c>
      <c r="F57" s="60" t="n">
        <v>88545</v>
      </c>
      <c r="G57" s="58" t="s">
        <v>115</v>
      </c>
      <c r="H57" s="61" t="s">
        <v>116</v>
      </c>
      <c r="I57" s="62" t="s">
        <v>117</v>
      </c>
    </row>
    <row r="58" customFormat="false" ht="18" hidden="false" customHeight="true" outlineLevel="0" collapsed="false">
      <c r="B58" s="49" t="n">
        <v>45755</v>
      </c>
      <c r="C58" s="50" t="s">
        <v>28</v>
      </c>
      <c r="D58" s="51" t="s">
        <v>103</v>
      </c>
      <c r="E58" s="52" t="s">
        <v>63</v>
      </c>
      <c r="F58" s="53" t="n">
        <v>2299</v>
      </c>
      <c r="G58" s="51" t="s">
        <v>103</v>
      </c>
      <c r="H58" s="54" t="s">
        <v>104</v>
      </c>
      <c r="I58" s="55" t="s">
        <v>105</v>
      </c>
    </row>
    <row r="59" customFormat="false" ht="18" hidden="false" customHeight="true" outlineLevel="0" collapsed="false">
      <c r="B59" s="56" t="n">
        <v>45755</v>
      </c>
      <c r="C59" s="57" t="s">
        <v>28</v>
      </c>
      <c r="D59" s="58" t="s">
        <v>103</v>
      </c>
      <c r="E59" s="64" t="s">
        <v>63</v>
      </c>
      <c r="F59" s="60" t="n">
        <v>3349</v>
      </c>
      <c r="G59" s="58" t="s">
        <v>103</v>
      </c>
      <c r="H59" s="61" t="s">
        <v>104</v>
      </c>
      <c r="I59" s="62" t="s">
        <v>105</v>
      </c>
    </row>
    <row r="60" customFormat="false" ht="18" hidden="false" customHeight="true" outlineLevel="0" collapsed="false">
      <c r="B60" s="49" t="n">
        <v>45755</v>
      </c>
      <c r="C60" s="50" t="s">
        <v>28</v>
      </c>
      <c r="D60" s="51" t="s">
        <v>134</v>
      </c>
      <c r="E60" s="52" t="s">
        <v>63</v>
      </c>
      <c r="F60" s="53" t="n">
        <v>4064</v>
      </c>
      <c r="G60" s="51" t="s">
        <v>134</v>
      </c>
      <c r="H60" s="54" t="s">
        <v>135</v>
      </c>
      <c r="I60" s="55" t="s">
        <v>136</v>
      </c>
    </row>
    <row r="61" customFormat="false" ht="18" hidden="false" customHeight="true" outlineLevel="0" collapsed="false">
      <c r="B61" s="56" t="n">
        <v>45766</v>
      </c>
      <c r="C61" s="57" t="s">
        <v>30</v>
      </c>
      <c r="D61" s="58" t="s">
        <v>88</v>
      </c>
      <c r="E61" s="64" t="s">
        <v>63</v>
      </c>
      <c r="F61" s="60" t="n">
        <v>7712</v>
      </c>
      <c r="G61" s="58" t="s">
        <v>88</v>
      </c>
      <c r="H61" s="61" t="s">
        <v>89</v>
      </c>
      <c r="I61" s="62" t="s">
        <v>90</v>
      </c>
    </row>
    <row r="62" customFormat="false" ht="18" hidden="false" customHeight="true" outlineLevel="0" collapsed="false">
      <c r="B62" s="49" t="n">
        <v>45766</v>
      </c>
      <c r="C62" s="50" t="s">
        <v>23</v>
      </c>
      <c r="D62" s="51" t="s">
        <v>91</v>
      </c>
      <c r="E62" s="52" t="s">
        <v>63</v>
      </c>
      <c r="F62" s="53" t="n">
        <v>38674</v>
      </c>
      <c r="G62" s="51" t="s">
        <v>91</v>
      </c>
      <c r="H62" s="54" t="s">
        <v>92</v>
      </c>
      <c r="I62" s="55" t="s">
        <v>93</v>
      </c>
    </row>
    <row r="63" customFormat="false" ht="18" hidden="false" customHeight="true" outlineLevel="0" collapsed="false">
      <c r="B63" s="56" t="n">
        <v>45766</v>
      </c>
      <c r="C63" s="57" t="s">
        <v>37</v>
      </c>
      <c r="D63" s="58" t="s">
        <v>131</v>
      </c>
      <c r="E63" s="64" t="s">
        <v>63</v>
      </c>
      <c r="F63" s="60" t="n">
        <v>18469</v>
      </c>
      <c r="G63" s="58" t="s">
        <v>131</v>
      </c>
      <c r="H63" s="61" t="s">
        <v>132</v>
      </c>
      <c r="I63" s="62" t="s">
        <v>133</v>
      </c>
    </row>
    <row r="64" customFormat="false" ht="18" hidden="false" customHeight="true" outlineLevel="0" collapsed="false">
      <c r="B64" s="49" t="n">
        <v>45766</v>
      </c>
      <c r="C64" s="50" t="s">
        <v>37</v>
      </c>
      <c r="D64" s="51" t="s">
        <v>100</v>
      </c>
      <c r="E64" s="52" t="s">
        <v>63</v>
      </c>
      <c r="F64" s="53" t="n">
        <v>11288</v>
      </c>
      <c r="G64" s="51" t="s">
        <v>100</v>
      </c>
      <c r="H64" s="54" t="s">
        <v>101</v>
      </c>
      <c r="I64" s="55" t="s">
        <v>102</v>
      </c>
    </row>
    <row r="65" customFormat="false" ht="18" hidden="false" customHeight="true" outlineLevel="0" collapsed="false">
      <c r="B65" s="56" t="n">
        <v>45766</v>
      </c>
      <c r="C65" s="57" t="s">
        <v>37</v>
      </c>
      <c r="D65" s="58" t="s">
        <v>100</v>
      </c>
      <c r="E65" s="64" t="s">
        <v>63</v>
      </c>
      <c r="F65" s="60" t="n">
        <v>40756</v>
      </c>
      <c r="G65" s="58" t="s">
        <v>100</v>
      </c>
      <c r="H65" s="61" t="s">
        <v>101</v>
      </c>
      <c r="I65" s="62" t="s">
        <v>102</v>
      </c>
    </row>
    <row r="66" customFormat="false" ht="18" hidden="false" customHeight="true" outlineLevel="0" collapsed="false">
      <c r="B66" s="49" t="n">
        <v>45766</v>
      </c>
      <c r="C66" s="50" t="s">
        <v>35</v>
      </c>
      <c r="D66" s="51" t="s">
        <v>115</v>
      </c>
      <c r="E66" s="52" t="s">
        <v>63</v>
      </c>
      <c r="F66" s="53" t="n">
        <v>172044</v>
      </c>
      <c r="G66" s="51" t="s">
        <v>115</v>
      </c>
      <c r="H66" s="54" t="s">
        <v>116</v>
      </c>
      <c r="I66" s="55" t="s">
        <v>117</v>
      </c>
    </row>
    <row r="67" customFormat="false" ht="18" hidden="false" customHeight="true" outlineLevel="0" collapsed="false">
      <c r="B67" s="56" t="n">
        <v>45766</v>
      </c>
      <c r="C67" s="57" t="s">
        <v>28</v>
      </c>
      <c r="D67" s="58" t="s">
        <v>140</v>
      </c>
      <c r="E67" s="64" t="s">
        <v>63</v>
      </c>
      <c r="F67" s="60" t="n">
        <v>740</v>
      </c>
      <c r="G67" s="58" t="s">
        <v>140</v>
      </c>
      <c r="H67" s="61" t="s">
        <v>141</v>
      </c>
      <c r="I67" s="62" t="s">
        <v>142</v>
      </c>
    </row>
    <row r="68" customFormat="false" ht="18" hidden="false" customHeight="true" outlineLevel="0" collapsed="false">
      <c r="B68" s="49" t="n">
        <v>45779</v>
      </c>
      <c r="C68" s="50" t="s">
        <v>33</v>
      </c>
      <c r="D68" s="51" t="s">
        <v>118</v>
      </c>
      <c r="E68" s="52" t="s">
        <v>63</v>
      </c>
      <c r="F68" s="53" t="n">
        <v>12190</v>
      </c>
      <c r="G68" s="51" t="s">
        <v>118</v>
      </c>
      <c r="H68" s="54" t="s">
        <v>119</v>
      </c>
      <c r="I68" s="55" t="s">
        <v>120</v>
      </c>
    </row>
    <row r="69" customFormat="false" ht="18" hidden="false" customHeight="true" outlineLevel="0" collapsed="false">
      <c r="B69" s="56" t="n">
        <v>45779</v>
      </c>
      <c r="C69" s="57" t="s">
        <v>26</v>
      </c>
      <c r="D69" s="58" t="s">
        <v>129</v>
      </c>
      <c r="E69" s="64" t="s">
        <v>63</v>
      </c>
      <c r="F69" s="60" t="n">
        <v>18182</v>
      </c>
      <c r="G69" s="58" t="s">
        <v>129</v>
      </c>
      <c r="H69" s="61" t="s">
        <v>130</v>
      </c>
      <c r="I69" s="62" t="s">
        <v>117</v>
      </c>
    </row>
    <row r="70" customFormat="false" ht="18" hidden="false" customHeight="true" outlineLevel="0" collapsed="false">
      <c r="B70" s="49" t="n">
        <v>45779</v>
      </c>
      <c r="C70" s="50" t="s">
        <v>37</v>
      </c>
      <c r="D70" s="51" t="s">
        <v>70</v>
      </c>
      <c r="E70" s="63" t="s">
        <v>67</v>
      </c>
      <c r="F70" s="53" t="n">
        <v>120000</v>
      </c>
      <c r="G70" s="51" t="s">
        <v>70</v>
      </c>
      <c r="H70" s="54" t="s">
        <v>71</v>
      </c>
      <c r="I70" s="55" t="s">
        <v>72</v>
      </c>
    </row>
    <row r="71" customFormat="false" ht="18" hidden="false" customHeight="true" outlineLevel="0" collapsed="false">
      <c r="B71" s="56" t="n">
        <v>45779</v>
      </c>
      <c r="C71" s="57" t="s">
        <v>37</v>
      </c>
      <c r="D71" s="58" t="s">
        <v>97</v>
      </c>
      <c r="E71" s="64" t="s">
        <v>63</v>
      </c>
      <c r="F71" s="60" t="n">
        <v>20509</v>
      </c>
      <c r="G71" s="58" t="s">
        <v>97</v>
      </c>
      <c r="H71" s="61" t="s">
        <v>98</v>
      </c>
      <c r="I71" s="62" t="s">
        <v>99</v>
      </c>
    </row>
    <row r="72" customFormat="false" ht="18" hidden="false" customHeight="true" outlineLevel="0" collapsed="false">
      <c r="B72" s="49" t="n">
        <v>45791</v>
      </c>
      <c r="C72" s="50" t="s">
        <v>23</v>
      </c>
      <c r="D72" s="51" t="s">
        <v>91</v>
      </c>
      <c r="E72" s="52" t="s">
        <v>63</v>
      </c>
      <c r="F72" s="53" t="n">
        <v>25486</v>
      </c>
      <c r="G72" s="51" t="s">
        <v>91</v>
      </c>
      <c r="H72" s="54" t="s">
        <v>92</v>
      </c>
      <c r="I72" s="55" t="s">
        <v>93</v>
      </c>
    </row>
    <row r="73" customFormat="false" ht="18" hidden="false" customHeight="true" outlineLevel="0" collapsed="false">
      <c r="B73" s="56" t="n">
        <v>45791</v>
      </c>
      <c r="C73" s="57" t="s">
        <v>23</v>
      </c>
      <c r="D73" s="58" t="s">
        <v>91</v>
      </c>
      <c r="E73" s="64" t="s">
        <v>63</v>
      </c>
      <c r="F73" s="60" t="n">
        <v>8037</v>
      </c>
      <c r="G73" s="58" t="s">
        <v>91</v>
      </c>
      <c r="H73" s="61" t="s">
        <v>92</v>
      </c>
      <c r="I73" s="62" t="s">
        <v>93</v>
      </c>
    </row>
    <row r="74" customFormat="false" ht="18" hidden="false" customHeight="true" outlineLevel="0" collapsed="false">
      <c r="B74" s="49" t="n">
        <v>45791</v>
      </c>
      <c r="C74" s="50" t="s">
        <v>20</v>
      </c>
      <c r="D74" s="51" t="s">
        <v>94</v>
      </c>
      <c r="E74" s="52" t="s">
        <v>63</v>
      </c>
      <c r="F74" s="53" t="n">
        <v>21085</v>
      </c>
      <c r="G74" s="51" t="s">
        <v>94</v>
      </c>
      <c r="H74" s="54" t="s">
        <v>95</v>
      </c>
      <c r="I74" s="55" t="s">
        <v>96</v>
      </c>
    </row>
    <row r="75" customFormat="false" ht="18" hidden="false" customHeight="true" outlineLevel="0" collapsed="false">
      <c r="B75" s="56" t="n">
        <v>45791</v>
      </c>
      <c r="C75" s="57" t="s">
        <v>35</v>
      </c>
      <c r="D75" s="58" t="s">
        <v>115</v>
      </c>
      <c r="E75" s="64" t="s">
        <v>63</v>
      </c>
      <c r="F75" s="60" t="n">
        <v>113642</v>
      </c>
      <c r="G75" s="58" t="s">
        <v>115</v>
      </c>
      <c r="H75" s="61" t="s">
        <v>116</v>
      </c>
      <c r="I75" s="62" t="s">
        <v>117</v>
      </c>
    </row>
    <row r="76" customFormat="false" ht="18" hidden="false" customHeight="true" outlineLevel="0" collapsed="false">
      <c r="B76" s="49" t="n">
        <v>45791</v>
      </c>
      <c r="C76" s="50" t="s">
        <v>28</v>
      </c>
      <c r="D76" s="51" t="s">
        <v>127</v>
      </c>
      <c r="E76" s="63" t="s">
        <v>67</v>
      </c>
      <c r="F76" s="53" t="n">
        <v>45000</v>
      </c>
      <c r="G76" s="51" t="s">
        <v>127</v>
      </c>
      <c r="H76" s="54" t="s">
        <v>20</v>
      </c>
      <c r="I76" s="55" t="s">
        <v>128</v>
      </c>
    </row>
    <row r="77" customFormat="false" ht="18" hidden="false" customHeight="true" outlineLevel="0" collapsed="false">
      <c r="B77" s="56" t="n">
        <v>45791</v>
      </c>
      <c r="C77" s="57" t="s">
        <v>28</v>
      </c>
      <c r="D77" s="58" t="s">
        <v>127</v>
      </c>
      <c r="E77" s="59" t="s">
        <v>67</v>
      </c>
      <c r="F77" s="60" t="n">
        <v>30000</v>
      </c>
      <c r="G77" s="58" t="s">
        <v>127</v>
      </c>
      <c r="H77" s="61" t="s">
        <v>20</v>
      </c>
      <c r="I77" s="62" t="s">
        <v>128</v>
      </c>
    </row>
    <row r="78" customFormat="false" ht="18" hidden="false" customHeight="true" outlineLevel="0" collapsed="false">
      <c r="B78" s="49" t="n">
        <v>45791</v>
      </c>
      <c r="C78" s="50" t="s">
        <v>28</v>
      </c>
      <c r="D78" s="51" t="s">
        <v>103</v>
      </c>
      <c r="E78" s="52" t="s">
        <v>63</v>
      </c>
      <c r="F78" s="53" t="n">
        <v>1370</v>
      </c>
      <c r="G78" s="51" t="s">
        <v>103</v>
      </c>
      <c r="H78" s="54" t="s">
        <v>104</v>
      </c>
      <c r="I78" s="55" t="s">
        <v>105</v>
      </c>
    </row>
    <row r="79" customFormat="false" ht="18" hidden="false" customHeight="true" outlineLevel="0" collapsed="false">
      <c r="B79" s="56" t="n">
        <v>45791</v>
      </c>
      <c r="C79" s="57" t="s">
        <v>28</v>
      </c>
      <c r="D79" s="58" t="s">
        <v>103</v>
      </c>
      <c r="E79" s="64" t="s">
        <v>63</v>
      </c>
      <c r="F79" s="60" t="n">
        <v>726</v>
      </c>
      <c r="G79" s="58" t="s">
        <v>103</v>
      </c>
      <c r="H79" s="61" t="s">
        <v>104</v>
      </c>
      <c r="I79" s="62" t="s">
        <v>105</v>
      </c>
    </row>
    <row r="80" customFormat="false" ht="18" hidden="false" customHeight="true" outlineLevel="0" collapsed="false">
      <c r="B80" s="49" t="n">
        <v>45804</v>
      </c>
      <c r="C80" s="50" t="s">
        <v>30</v>
      </c>
      <c r="D80" s="51" t="s">
        <v>76</v>
      </c>
      <c r="E80" s="63" t="s">
        <v>67</v>
      </c>
      <c r="F80" s="53" t="n">
        <v>18000</v>
      </c>
      <c r="G80" s="51" t="s">
        <v>76</v>
      </c>
      <c r="H80" s="54" t="s">
        <v>77</v>
      </c>
      <c r="I80" s="55" t="s">
        <v>78</v>
      </c>
    </row>
    <row r="81" customFormat="false" ht="18" hidden="false" customHeight="true" outlineLevel="0" collapsed="false">
      <c r="B81" s="56" t="n">
        <v>45804</v>
      </c>
      <c r="C81" s="57" t="s">
        <v>23</v>
      </c>
      <c r="D81" s="58" t="s">
        <v>129</v>
      </c>
      <c r="E81" s="64" t="s">
        <v>63</v>
      </c>
      <c r="F81" s="60" t="n">
        <v>21035</v>
      </c>
      <c r="G81" s="58" t="s">
        <v>129</v>
      </c>
      <c r="H81" s="61" t="s">
        <v>143</v>
      </c>
      <c r="I81" s="62" t="s">
        <v>117</v>
      </c>
    </row>
    <row r="82" customFormat="false" ht="18" hidden="false" customHeight="true" outlineLevel="0" collapsed="false">
      <c r="B82" s="49" t="n">
        <v>45804</v>
      </c>
      <c r="C82" s="50" t="s">
        <v>28</v>
      </c>
      <c r="D82" s="51" t="s">
        <v>134</v>
      </c>
      <c r="E82" s="52" t="s">
        <v>63</v>
      </c>
      <c r="F82" s="53" t="n">
        <v>3149</v>
      </c>
      <c r="G82" s="51" t="s">
        <v>134</v>
      </c>
      <c r="H82" s="54" t="s">
        <v>135</v>
      </c>
      <c r="I82" s="55" t="s">
        <v>136</v>
      </c>
    </row>
    <row r="83" customFormat="false" ht="18" hidden="false" customHeight="true" outlineLevel="0" collapsed="false">
      <c r="B83" s="56" t="n">
        <v>45814</v>
      </c>
      <c r="C83" s="57" t="s">
        <v>33</v>
      </c>
      <c r="D83" s="58" t="s">
        <v>70</v>
      </c>
      <c r="E83" s="59" t="s">
        <v>67</v>
      </c>
      <c r="F83" s="60" t="n">
        <v>85000</v>
      </c>
      <c r="G83" s="58" t="s">
        <v>70</v>
      </c>
      <c r="H83" s="61" t="s">
        <v>71</v>
      </c>
      <c r="I83" s="62" t="s">
        <v>72</v>
      </c>
    </row>
    <row r="84" customFormat="false" ht="18" hidden="false" customHeight="true" outlineLevel="0" collapsed="false">
      <c r="B84" s="49" t="n">
        <v>45814</v>
      </c>
      <c r="C84" s="50" t="s">
        <v>30</v>
      </c>
      <c r="D84" s="51" t="s">
        <v>79</v>
      </c>
      <c r="E84" s="52" t="s">
        <v>63</v>
      </c>
      <c r="F84" s="53" t="n">
        <v>7009</v>
      </c>
      <c r="G84" s="51" t="s">
        <v>79</v>
      </c>
      <c r="H84" s="54" t="s">
        <v>80</v>
      </c>
      <c r="I84" s="55" t="s">
        <v>81</v>
      </c>
    </row>
    <row r="85" customFormat="false" ht="18" hidden="false" customHeight="true" outlineLevel="0" collapsed="false">
      <c r="B85" s="56" t="n">
        <v>45814</v>
      </c>
      <c r="C85" s="57" t="s">
        <v>20</v>
      </c>
      <c r="D85" s="58" t="s">
        <v>144</v>
      </c>
      <c r="E85" s="64" t="s">
        <v>63</v>
      </c>
      <c r="F85" s="60" t="n">
        <v>7854</v>
      </c>
      <c r="G85" s="58" t="s">
        <v>144</v>
      </c>
      <c r="H85" s="61" t="s">
        <v>145</v>
      </c>
      <c r="I85" s="62" t="s">
        <v>146</v>
      </c>
    </row>
    <row r="86" customFormat="false" ht="18" hidden="false" customHeight="true" outlineLevel="0" collapsed="false">
      <c r="B86" s="49" t="n">
        <v>45814</v>
      </c>
      <c r="C86" s="50" t="s">
        <v>20</v>
      </c>
      <c r="D86" s="51" t="s">
        <v>124</v>
      </c>
      <c r="E86" s="52" t="s">
        <v>63</v>
      </c>
      <c r="F86" s="53" t="n">
        <v>3551</v>
      </c>
      <c r="G86" s="51" t="s">
        <v>124</v>
      </c>
      <c r="H86" s="54" t="s">
        <v>125</v>
      </c>
      <c r="I86" s="55" t="s">
        <v>126</v>
      </c>
    </row>
    <row r="87" customFormat="false" ht="18" hidden="false" customHeight="true" outlineLevel="0" collapsed="false">
      <c r="B87" s="56" t="n">
        <v>45814</v>
      </c>
      <c r="C87" s="57" t="s">
        <v>37</v>
      </c>
      <c r="D87" s="58" t="s">
        <v>70</v>
      </c>
      <c r="E87" s="59" t="s">
        <v>67</v>
      </c>
      <c r="F87" s="60" t="n">
        <v>130000</v>
      </c>
      <c r="G87" s="58" t="s">
        <v>70</v>
      </c>
      <c r="H87" s="61" t="s">
        <v>71</v>
      </c>
      <c r="I87" s="62" t="s">
        <v>72</v>
      </c>
    </row>
    <row r="88" customFormat="false" ht="18" hidden="false" customHeight="true" outlineLevel="0" collapsed="false">
      <c r="B88" s="49" t="n">
        <v>45825</v>
      </c>
      <c r="C88" s="50" t="s">
        <v>30</v>
      </c>
      <c r="D88" s="51" t="s">
        <v>88</v>
      </c>
      <c r="E88" s="52" t="s">
        <v>63</v>
      </c>
      <c r="F88" s="53" t="n">
        <v>4672</v>
      </c>
      <c r="G88" s="51" t="s">
        <v>88</v>
      </c>
      <c r="H88" s="54" t="s">
        <v>89</v>
      </c>
      <c r="I88" s="55" t="s">
        <v>90</v>
      </c>
    </row>
    <row r="89" customFormat="false" ht="18" hidden="false" customHeight="true" outlineLevel="0" collapsed="false">
      <c r="B89" s="56" t="n">
        <v>45825</v>
      </c>
      <c r="C89" s="57" t="s">
        <v>23</v>
      </c>
      <c r="D89" s="58" t="s">
        <v>62</v>
      </c>
      <c r="E89" s="64" t="s">
        <v>63</v>
      </c>
      <c r="F89" s="60" t="n">
        <v>15310</v>
      </c>
      <c r="G89" s="58" t="s">
        <v>62</v>
      </c>
      <c r="H89" s="61" t="s">
        <v>64</v>
      </c>
      <c r="I89" s="62" t="s">
        <v>65</v>
      </c>
    </row>
    <row r="90" customFormat="false" ht="18" hidden="false" customHeight="true" outlineLevel="0" collapsed="false">
      <c r="B90" s="49" t="n">
        <v>45825</v>
      </c>
      <c r="C90" s="50" t="s">
        <v>28</v>
      </c>
      <c r="D90" s="51" t="s">
        <v>134</v>
      </c>
      <c r="E90" s="52" t="s">
        <v>63</v>
      </c>
      <c r="F90" s="53" t="n">
        <v>3663</v>
      </c>
      <c r="G90" s="51" t="s">
        <v>134</v>
      </c>
      <c r="H90" s="54" t="s">
        <v>135</v>
      </c>
      <c r="I90" s="55" t="s">
        <v>136</v>
      </c>
    </row>
    <row r="91" customFormat="false" ht="18" hidden="false" customHeight="true" outlineLevel="0" collapsed="false">
      <c r="B91" s="56" t="n">
        <v>45836</v>
      </c>
      <c r="C91" s="57" t="s">
        <v>20</v>
      </c>
      <c r="D91" s="58" t="s">
        <v>94</v>
      </c>
      <c r="E91" s="64" t="s">
        <v>63</v>
      </c>
      <c r="F91" s="60" t="n">
        <v>15464</v>
      </c>
      <c r="G91" s="58" t="s">
        <v>94</v>
      </c>
      <c r="H91" s="61" t="s">
        <v>95</v>
      </c>
      <c r="I91" s="62" t="s">
        <v>96</v>
      </c>
    </row>
    <row r="92" customFormat="false" ht="18" hidden="false" customHeight="true" outlineLevel="0" collapsed="false">
      <c r="B92" s="49" t="n">
        <v>45836</v>
      </c>
      <c r="C92" s="50" t="s">
        <v>37</v>
      </c>
      <c r="D92" s="51" t="s">
        <v>70</v>
      </c>
      <c r="E92" s="63" t="s">
        <v>67</v>
      </c>
      <c r="F92" s="53" t="n">
        <v>95000</v>
      </c>
      <c r="G92" s="51" t="s">
        <v>70</v>
      </c>
      <c r="H92" s="54" t="s">
        <v>71</v>
      </c>
      <c r="I92" s="55" t="s">
        <v>72</v>
      </c>
    </row>
    <row r="93" customFormat="false" ht="18" hidden="false" customHeight="true" outlineLevel="0" collapsed="false">
      <c r="B93" s="56" t="n">
        <v>45836</v>
      </c>
      <c r="C93" s="57" t="s">
        <v>35</v>
      </c>
      <c r="D93" s="58" t="s">
        <v>115</v>
      </c>
      <c r="E93" s="64" t="s">
        <v>63</v>
      </c>
      <c r="F93" s="60" t="n">
        <v>54016</v>
      </c>
      <c r="G93" s="58" t="s">
        <v>115</v>
      </c>
      <c r="H93" s="61" t="s">
        <v>147</v>
      </c>
      <c r="I93" s="62" t="s">
        <v>117</v>
      </c>
    </row>
    <row r="94" customFormat="false" ht="18" hidden="false" customHeight="true" outlineLevel="0" collapsed="false">
      <c r="B94" s="49" t="n">
        <v>45836</v>
      </c>
      <c r="C94" s="50" t="s">
        <v>28</v>
      </c>
      <c r="D94" s="51" t="s">
        <v>134</v>
      </c>
      <c r="E94" s="52" t="s">
        <v>63</v>
      </c>
      <c r="F94" s="53" t="n">
        <v>2184</v>
      </c>
      <c r="G94" s="51" t="s">
        <v>134</v>
      </c>
      <c r="H94" s="54" t="s">
        <v>135</v>
      </c>
      <c r="I94" s="55" t="s">
        <v>136</v>
      </c>
    </row>
    <row r="95" customFormat="false" ht="18" hidden="false" customHeight="true" outlineLevel="0" collapsed="false">
      <c r="B95" s="56" t="n">
        <v>45847</v>
      </c>
      <c r="C95" s="57" t="s">
        <v>20</v>
      </c>
      <c r="D95" s="58" t="s">
        <v>94</v>
      </c>
      <c r="E95" s="64" t="s">
        <v>63</v>
      </c>
      <c r="F95" s="60" t="n">
        <v>9467</v>
      </c>
      <c r="G95" s="58" t="s">
        <v>94</v>
      </c>
      <c r="H95" s="61" t="s">
        <v>95</v>
      </c>
      <c r="I95" s="62" t="s">
        <v>96</v>
      </c>
    </row>
    <row r="96" customFormat="false" ht="18" hidden="false" customHeight="true" outlineLevel="0" collapsed="false">
      <c r="B96" s="49" t="n">
        <v>45847</v>
      </c>
      <c r="C96" s="50" t="s">
        <v>20</v>
      </c>
      <c r="D96" s="51" t="s">
        <v>148</v>
      </c>
      <c r="E96" s="52" t="s">
        <v>63</v>
      </c>
      <c r="F96" s="53" t="n">
        <v>7032</v>
      </c>
      <c r="G96" s="51" t="s">
        <v>148</v>
      </c>
      <c r="H96" s="54" t="s">
        <v>149</v>
      </c>
      <c r="I96" s="55" t="s">
        <v>150</v>
      </c>
    </row>
    <row r="97" customFormat="false" ht="18" hidden="false" customHeight="true" outlineLevel="0" collapsed="false">
      <c r="B97" s="56" t="n">
        <v>45847</v>
      </c>
      <c r="C97" s="57" t="s">
        <v>37</v>
      </c>
      <c r="D97" s="58" t="s">
        <v>131</v>
      </c>
      <c r="E97" s="64" t="s">
        <v>63</v>
      </c>
      <c r="F97" s="60" t="n">
        <v>21800</v>
      </c>
      <c r="G97" s="58" t="s">
        <v>131</v>
      </c>
      <c r="H97" s="61" t="s">
        <v>132</v>
      </c>
      <c r="I97" s="62" t="s">
        <v>133</v>
      </c>
    </row>
    <row r="98" customFormat="false" ht="18" hidden="false" customHeight="true" outlineLevel="0" collapsed="false">
      <c r="B98" s="49" t="n">
        <v>45860</v>
      </c>
      <c r="C98" s="50" t="s">
        <v>33</v>
      </c>
      <c r="D98" s="51" t="s">
        <v>118</v>
      </c>
      <c r="E98" s="52" t="s">
        <v>63</v>
      </c>
      <c r="F98" s="53" t="n">
        <v>22642</v>
      </c>
      <c r="G98" s="51" t="s">
        <v>118</v>
      </c>
      <c r="H98" s="54" t="s">
        <v>119</v>
      </c>
      <c r="I98" s="55" t="s">
        <v>120</v>
      </c>
    </row>
    <row r="99" customFormat="false" ht="18" hidden="false" customHeight="true" outlineLevel="0" collapsed="false">
      <c r="B99" s="56" t="n">
        <v>45860</v>
      </c>
      <c r="C99" s="57" t="s">
        <v>23</v>
      </c>
      <c r="D99" s="58" t="s">
        <v>91</v>
      </c>
      <c r="E99" s="64" t="s">
        <v>63</v>
      </c>
      <c r="F99" s="60" t="n">
        <v>27558</v>
      </c>
      <c r="G99" s="58" t="s">
        <v>91</v>
      </c>
      <c r="H99" s="61" t="s">
        <v>92</v>
      </c>
      <c r="I99" s="62" t="s">
        <v>93</v>
      </c>
    </row>
    <row r="100" customFormat="false" ht="18" hidden="false" customHeight="true" outlineLevel="0" collapsed="false">
      <c r="B100" s="49" t="n">
        <v>45860</v>
      </c>
      <c r="C100" s="50" t="s">
        <v>23</v>
      </c>
      <c r="D100" s="51" t="s">
        <v>91</v>
      </c>
      <c r="E100" s="52" t="s">
        <v>63</v>
      </c>
      <c r="F100" s="53" t="n">
        <v>18587</v>
      </c>
      <c r="G100" s="51" t="s">
        <v>91</v>
      </c>
      <c r="H100" s="54" t="s">
        <v>92</v>
      </c>
      <c r="I100" s="55" t="s">
        <v>93</v>
      </c>
    </row>
    <row r="101" customFormat="false" ht="18" hidden="false" customHeight="true" outlineLevel="0" collapsed="false">
      <c r="B101" s="56" t="n">
        <v>45860</v>
      </c>
      <c r="C101" s="57" t="s">
        <v>28</v>
      </c>
      <c r="D101" s="58" t="s">
        <v>134</v>
      </c>
      <c r="E101" s="64" t="s">
        <v>63</v>
      </c>
      <c r="F101" s="60" t="n">
        <v>1979</v>
      </c>
      <c r="G101" s="58" t="s">
        <v>134</v>
      </c>
      <c r="H101" s="61" t="s">
        <v>135</v>
      </c>
      <c r="I101" s="62" t="s">
        <v>136</v>
      </c>
    </row>
    <row r="102" customFormat="false" ht="18" hidden="false" customHeight="true" outlineLevel="0" collapsed="false">
      <c r="B102" s="49" t="n">
        <v>45874</v>
      </c>
      <c r="C102" s="50" t="s">
        <v>33</v>
      </c>
      <c r="D102" s="51" t="s">
        <v>70</v>
      </c>
      <c r="E102" s="63" t="s">
        <v>67</v>
      </c>
      <c r="F102" s="53" t="n">
        <v>50000</v>
      </c>
      <c r="G102" s="51" t="s">
        <v>70</v>
      </c>
      <c r="H102" s="54" t="s">
        <v>71</v>
      </c>
      <c r="I102" s="55" t="s">
        <v>72</v>
      </c>
    </row>
    <row r="103" customFormat="false" ht="18" hidden="false" customHeight="true" outlineLevel="0" collapsed="false">
      <c r="B103" s="56" t="n">
        <v>45874</v>
      </c>
      <c r="C103" s="57" t="s">
        <v>33</v>
      </c>
      <c r="D103" s="58" t="s">
        <v>70</v>
      </c>
      <c r="E103" s="59" t="s">
        <v>67</v>
      </c>
      <c r="F103" s="60" t="n">
        <v>60000</v>
      </c>
      <c r="G103" s="58" t="s">
        <v>70</v>
      </c>
      <c r="H103" s="61" t="s">
        <v>71</v>
      </c>
      <c r="I103" s="62" t="s">
        <v>72</v>
      </c>
    </row>
    <row r="104" customFormat="false" ht="18" hidden="false" customHeight="true" outlineLevel="0" collapsed="false">
      <c r="B104" s="49" t="n">
        <v>45874</v>
      </c>
      <c r="C104" s="50" t="s">
        <v>23</v>
      </c>
      <c r="D104" s="51" t="s">
        <v>66</v>
      </c>
      <c r="E104" s="63" t="s">
        <v>67</v>
      </c>
      <c r="F104" s="53" t="n">
        <v>110000</v>
      </c>
      <c r="G104" s="51" t="s">
        <v>66</v>
      </c>
      <c r="H104" s="54" t="s">
        <v>68</v>
      </c>
      <c r="I104" s="55" t="s">
        <v>69</v>
      </c>
    </row>
    <row r="105" customFormat="false" ht="18" hidden="false" customHeight="true" outlineLevel="0" collapsed="false">
      <c r="B105" s="56" t="n">
        <v>45874</v>
      </c>
      <c r="C105" s="57" t="s">
        <v>23</v>
      </c>
      <c r="D105" s="58" t="s">
        <v>91</v>
      </c>
      <c r="E105" s="64" t="s">
        <v>63</v>
      </c>
      <c r="F105" s="60" t="n">
        <v>15507</v>
      </c>
      <c r="G105" s="58" t="s">
        <v>91</v>
      </c>
      <c r="H105" s="61" t="s">
        <v>92</v>
      </c>
      <c r="I105" s="62" t="s">
        <v>93</v>
      </c>
    </row>
    <row r="106" customFormat="false" ht="18" hidden="false" customHeight="true" outlineLevel="0" collapsed="false">
      <c r="B106" s="49" t="n">
        <v>45874</v>
      </c>
      <c r="C106" s="50" t="s">
        <v>26</v>
      </c>
      <c r="D106" s="51" t="s">
        <v>109</v>
      </c>
      <c r="E106" s="52" t="s">
        <v>63</v>
      </c>
      <c r="F106" s="53" t="n">
        <v>36849</v>
      </c>
      <c r="G106" s="51" t="s">
        <v>109</v>
      </c>
      <c r="H106" s="54" t="s">
        <v>110</v>
      </c>
      <c r="I106" s="55" t="s">
        <v>111</v>
      </c>
    </row>
    <row r="107" customFormat="false" ht="18" hidden="false" customHeight="true" outlineLevel="0" collapsed="false">
      <c r="B107" s="56" t="n">
        <v>45874</v>
      </c>
      <c r="C107" s="57" t="s">
        <v>26</v>
      </c>
      <c r="D107" s="58" t="s">
        <v>109</v>
      </c>
      <c r="E107" s="64" t="s">
        <v>63</v>
      </c>
      <c r="F107" s="60" t="n">
        <v>32730</v>
      </c>
      <c r="G107" s="58" t="s">
        <v>109</v>
      </c>
      <c r="H107" s="61" t="s">
        <v>110</v>
      </c>
      <c r="I107" s="62" t="s">
        <v>111</v>
      </c>
    </row>
    <row r="108" customFormat="false" ht="18" hidden="false" customHeight="true" outlineLevel="0" collapsed="false">
      <c r="B108" s="49" t="n">
        <v>45874</v>
      </c>
      <c r="C108" s="50" t="s">
        <v>20</v>
      </c>
      <c r="D108" s="51" t="s">
        <v>94</v>
      </c>
      <c r="E108" s="52" t="s">
        <v>63</v>
      </c>
      <c r="F108" s="53" t="n">
        <v>10581</v>
      </c>
      <c r="G108" s="51" t="s">
        <v>94</v>
      </c>
      <c r="H108" s="54" t="s">
        <v>95</v>
      </c>
      <c r="I108" s="55" t="s">
        <v>96</v>
      </c>
    </row>
    <row r="109" customFormat="false" ht="18" hidden="false" customHeight="true" outlineLevel="0" collapsed="false">
      <c r="B109" s="56" t="n">
        <v>45874</v>
      </c>
      <c r="C109" s="57" t="s">
        <v>37</v>
      </c>
      <c r="D109" s="58" t="s">
        <v>97</v>
      </c>
      <c r="E109" s="64" t="s">
        <v>63</v>
      </c>
      <c r="F109" s="60" t="n">
        <v>14838</v>
      </c>
      <c r="G109" s="58" t="s">
        <v>97</v>
      </c>
      <c r="H109" s="61" t="s">
        <v>98</v>
      </c>
      <c r="I109" s="62" t="s">
        <v>99</v>
      </c>
    </row>
    <row r="110" customFormat="false" ht="18" hidden="false" customHeight="true" outlineLevel="0" collapsed="false">
      <c r="B110" s="49" t="n">
        <v>45874</v>
      </c>
      <c r="C110" s="50" t="s">
        <v>35</v>
      </c>
      <c r="D110" s="51" t="s">
        <v>115</v>
      </c>
      <c r="E110" s="52" t="s">
        <v>63</v>
      </c>
      <c r="F110" s="53" t="n">
        <v>61209</v>
      </c>
      <c r="G110" s="51" t="s">
        <v>115</v>
      </c>
      <c r="H110" s="54" t="s">
        <v>147</v>
      </c>
      <c r="I110" s="55" t="s">
        <v>117</v>
      </c>
    </row>
    <row r="111" customFormat="false" ht="18" hidden="false" customHeight="true" outlineLevel="0" collapsed="false">
      <c r="B111" s="56" t="n">
        <v>45887</v>
      </c>
      <c r="C111" s="57" t="s">
        <v>26</v>
      </c>
      <c r="D111" s="58" t="s">
        <v>66</v>
      </c>
      <c r="E111" s="59" t="s">
        <v>67</v>
      </c>
      <c r="F111" s="60" t="n">
        <v>68000</v>
      </c>
      <c r="G111" s="58" t="s">
        <v>66</v>
      </c>
      <c r="H111" s="61" t="s">
        <v>68</v>
      </c>
      <c r="I111" s="62" t="s">
        <v>69</v>
      </c>
    </row>
    <row r="112" customFormat="false" ht="18" hidden="false" customHeight="true" outlineLevel="0" collapsed="false">
      <c r="B112" s="49" t="n">
        <v>45887</v>
      </c>
      <c r="C112" s="50" t="s">
        <v>26</v>
      </c>
      <c r="D112" s="51" t="s">
        <v>109</v>
      </c>
      <c r="E112" s="52" t="s">
        <v>63</v>
      </c>
      <c r="F112" s="53" t="n">
        <v>8796</v>
      </c>
      <c r="G112" s="51" t="s">
        <v>109</v>
      </c>
      <c r="H112" s="54" t="s">
        <v>110</v>
      </c>
      <c r="I112" s="55" t="s">
        <v>111</v>
      </c>
    </row>
    <row r="113" customFormat="false" ht="18" hidden="false" customHeight="true" outlineLevel="0" collapsed="false">
      <c r="B113" s="56" t="n">
        <v>45887</v>
      </c>
      <c r="C113" s="57" t="s">
        <v>20</v>
      </c>
      <c r="D113" s="58" t="s">
        <v>70</v>
      </c>
      <c r="E113" s="59" t="s">
        <v>67</v>
      </c>
      <c r="F113" s="60" t="n">
        <v>95000</v>
      </c>
      <c r="G113" s="58" t="s">
        <v>70</v>
      </c>
      <c r="H113" s="61" t="s">
        <v>71</v>
      </c>
      <c r="I113" s="62" t="s">
        <v>72</v>
      </c>
    </row>
    <row r="114" customFormat="false" ht="18" hidden="false" customHeight="true" outlineLevel="0" collapsed="false">
      <c r="B114" s="49" t="n">
        <v>45887</v>
      </c>
      <c r="C114" s="50" t="s">
        <v>20</v>
      </c>
      <c r="D114" s="51" t="s">
        <v>144</v>
      </c>
      <c r="E114" s="52" t="s">
        <v>63</v>
      </c>
      <c r="F114" s="53" t="n">
        <v>21655</v>
      </c>
      <c r="G114" s="51" t="s">
        <v>144</v>
      </c>
      <c r="H114" s="54" t="s">
        <v>145</v>
      </c>
      <c r="I114" s="55" t="s">
        <v>146</v>
      </c>
    </row>
    <row r="115" customFormat="false" ht="18" hidden="false" customHeight="true" outlineLevel="0" collapsed="false">
      <c r="B115" s="56" t="n">
        <v>45887</v>
      </c>
      <c r="C115" s="57" t="s">
        <v>35</v>
      </c>
      <c r="D115" s="58" t="s">
        <v>66</v>
      </c>
      <c r="E115" s="59" t="s">
        <v>67</v>
      </c>
      <c r="F115" s="60" t="n">
        <v>320000</v>
      </c>
      <c r="G115" s="58" t="s">
        <v>66</v>
      </c>
      <c r="H115" s="61" t="s">
        <v>68</v>
      </c>
      <c r="I115" s="62" t="s">
        <v>69</v>
      </c>
    </row>
    <row r="116" customFormat="false" ht="18" hidden="false" customHeight="true" outlineLevel="0" collapsed="false">
      <c r="B116" s="49" t="n">
        <v>45887</v>
      </c>
      <c r="C116" s="50" t="s">
        <v>28</v>
      </c>
      <c r="D116" s="51" t="s">
        <v>140</v>
      </c>
      <c r="E116" s="52" t="s">
        <v>63</v>
      </c>
      <c r="F116" s="53" t="n">
        <v>536</v>
      </c>
      <c r="G116" s="51" t="s">
        <v>140</v>
      </c>
      <c r="H116" s="54" t="s">
        <v>141</v>
      </c>
      <c r="I116" s="55" t="s">
        <v>142</v>
      </c>
    </row>
    <row r="117" customFormat="false" ht="18" hidden="false" customHeight="true" outlineLevel="0" collapsed="false">
      <c r="B117" s="56" t="n">
        <v>45898</v>
      </c>
      <c r="C117" s="57" t="s">
        <v>23</v>
      </c>
      <c r="D117" s="58" t="s">
        <v>62</v>
      </c>
      <c r="E117" s="64" t="s">
        <v>63</v>
      </c>
      <c r="F117" s="60" t="n">
        <v>33216</v>
      </c>
      <c r="G117" s="58" t="s">
        <v>62</v>
      </c>
      <c r="H117" s="61" t="s">
        <v>64</v>
      </c>
      <c r="I117" s="62" t="s">
        <v>65</v>
      </c>
    </row>
    <row r="118" customFormat="false" ht="18" hidden="false" customHeight="true" outlineLevel="0" collapsed="false">
      <c r="B118" s="49" t="n">
        <v>45898</v>
      </c>
      <c r="C118" s="50" t="s">
        <v>26</v>
      </c>
      <c r="D118" s="51" t="s">
        <v>129</v>
      </c>
      <c r="E118" s="52" t="s">
        <v>63</v>
      </c>
      <c r="F118" s="53" t="n">
        <v>22370</v>
      </c>
      <c r="G118" s="51" t="s">
        <v>129</v>
      </c>
      <c r="H118" s="54" t="s">
        <v>130</v>
      </c>
      <c r="I118" s="55" t="s">
        <v>117</v>
      </c>
    </row>
    <row r="119" customFormat="false" ht="18" hidden="false" customHeight="true" outlineLevel="0" collapsed="false">
      <c r="B119" s="56" t="n">
        <v>45898</v>
      </c>
      <c r="C119" s="57" t="s">
        <v>35</v>
      </c>
      <c r="D119" s="58" t="s">
        <v>115</v>
      </c>
      <c r="E119" s="64" t="s">
        <v>63</v>
      </c>
      <c r="F119" s="60" t="n">
        <v>99543</v>
      </c>
      <c r="G119" s="58" t="s">
        <v>115</v>
      </c>
      <c r="H119" s="61" t="s">
        <v>147</v>
      </c>
      <c r="I119" s="62" t="s">
        <v>117</v>
      </c>
    </row>
    <row r="120" customFormat="false" ht="18" hidden="false" customHeight="true" outlineLevel="0" collapsed="false">
      <c r="B120" s="49" t="n">
        <v>45910</v>
      </c>
      <c r="C120" s="50" t="s">
        <v>23</v>
      </c>
      <c r="D120" s="51" t="s">
        <v>129</v>
      </c>
      <c r="E120" s="52" t="s">
        <v>63</v>
      </c>
      <c r="F120" s="53" t="n">
        <v>41271</v>
      </c>
      <c r="G120" s="51" t="s">
        <v>129</v>
      </c>
      <c r="H120" s="54" t="s">
        <v>143</v>
      </c>
      <c r="I120" s="55" t="s">
        <v>117</v>
      </c>
    </row>
    <row r="121" customFormat="false" ht="18" hidden="false" customHeight="true" outlineLevel="0" collapsed="false">
      <c r="B121" s="56" t="n">
        <v>45910</v>
      </c>
      <c r="C121" s="57" t="s">
        <v>26</v>
      </c>
      <c r="D121" s="58" t="s">
        <v>129</v>
      </c>
      <c r="E121" s="64" t="s">
        <v>63</v>
      </c>
      <c r="F121" s="60" t="n">
        <v>31148</v>
      </c>
      <c r="G121" s="58" t="s">
        <v>129</v>
      </c>
      <c r="H121" s="61" t="s">
        <v>130</v>
      </c>
      <c r="I121" s="62" t="s">
        <v>117</v>
      </c>
    </row>
    <row r="122" customFormat="false" ht="18" hidden="false" customHeight="true" outlineLevel="0" collapsed="false">
      <c r="B122" s="49" t="n">
        <v>45910</v>
      </c>
      <c r="C122" s="50" t="s">
        <v>37</v>
      </c>
      <c r="D122" s="51" t="s">
        <v>131</v>
      </c>
      <c r="E122" s="52" t="s">
        <v>63</v>
      </c>
      <c r="F122" s="53" t="n">
        <v>24325</v>
      </c>
      <c r="G122" s="51" t="s">
        <v>131</v>
      </c>
      <c r="H122" s="54" t="s">
        <v>132</v>
      </c>
      <c r="I122" s="55" t="s">
        <v>133</v>
      </c>
    </row>
    <row r="123" customFormat="false" ht="18" hidden="false" customHeight="true" outlineLevel="0" collapsed="false">
      <c r="B123" s="56" t="n">
        <v>45910</v>
      </c>
      <c r="C123" s="57" t="s">
        <v>35</v>
      </c>
      <c r="D123" s="58" t="s">
        <v>66</v>
      </c>
      <c r="E123" s="59" t="s">
        <v>67</v>
      </c>
      <c r="F123" s="60" t="n">
        <v>280000</v>
      </c>
      <c r="G123" s="58" t="s">
        <v>66</v>
      </c>
      <c r="H123" s="61" t="s">
        <v>68</v>
      </c>
      <c r="I123" s="62" t="s">
        <v>69</v>
      </c>
    </row>
    <row r="124" customFormat="false" ht="18" hidden="false" customHeight="true" outlineLevel="0" collapsed="false">
      <c r="B124" s="49" t="n">
        <v>45923</v>
      </c>
      <c r="C124" s="50" t="s">
        <v>23</v>
      </c>
      <c r="D124" s="51" t="s">
        <v>129</v>
      </c>
      <c r="E124" s="52" t="s">
        <v>63</v>
      </c>
      <c r="F124" s="53" t="n">
        <v>44256</v>
      </c>
      <c r="G124" s="51" t="s">
        <v>129</v>
      </c>
      <c r="H124" s="54" t="s">
        <v>143</v>
      </c>
      <c r="I124" s="55" t="s">
        <v>117</v>
      </c>
    </row>
    <row r="125" customFormat="false" ht="18" hidden="false" customHeight="true" outlineLevel="0" collapsed="false">
      <c r="B125" s="56" t="n">
        <v>45923</v>
      </c>
      <c r="C125" s="57" t="s">
        <v>26</v>
      </c>
      <c r="D125" s="58" t="s">
        <v>109</v>
      </c>
      <c r="E125" s="64" t="s">
        <v>63</v>
      </c>
      <c r="F125" s="60" t="n">
        <v>13241</v>
      </c>
      <c r="G125" s="58" t="s">
        <v>109</v>
      </c>
      <c r="H125" s="61" t="s">
        <v>110</v>
      </c>
      <c r="I125" s="62" t="s">
        <v>111</v>
      </c>
    </row>
    <row r="126" customFormat="false" ht="18" hidden="false" customHeight="true" outlineLevel="0" collapsed="false">
      <c r="B126" s="49" t="n">
        <v>45923</v>
      </c>
      <c r="C126" s="50" t="s">
        <v>20</v>
      </c>
      <c r="D126" s="51" t="s">
        <v>70</v>
      </c>
      <c r="E126" s="63" t="s">
        <v>67</v>
      </c>
      <c r="F126" s="53" t="n">
        <v>115000</v>
      </c>
      <c r="G126" s="51" t="s">
        <v>70</v>
      </c>
      <c r="H126" s="54" t="s">
        <v>71</v>
      </c>
      <c r="I126" s="55" t="s">
        <v>72</v>
      </c>
    </row>
    <row r="127" customFormat="false" ht="18" hidden="false" customHeight="true" outlineLevel="0" collapsed="false">
      <c r="B127" s="56" t="n">
        <v>45923</v>
      </c>
      <c r="C127" s="57" t="s">
        <v>20</v>
      </c>
      <c r="D127" s="58" t="s">
        <v>151</v>
      </c>
      <c r="E127" s="64" t="s">
        <v>63</v>
      </c>
      <c r="F127" s="60" t="n">
        <v>20750</v>
      </c>
      <c r="G127" s="58" t="s">
        <v>151</v>
      </c>
      <c r="H127" s="61" t="s">
        <v>152</v>
      </c>
      <c r="I127" s="62" t="s">
        <v>153</v>
      </c>
    </row>
    <row r="128" customFormat="false" ht="18" hidden="false" customHeight="true" outlineLevel="0" collapsed="false">
      <c r="B128" s="49" t="n">
        <v>45923</v>
      </c>
      <c r="C128" s="50" t="s">
        <v>37</v>
      </c>
      <c r="D128" s="51" t="s">
        <v>100</v>
      </c>
      <c r="E128" s="52" t="s">
        <v>63</v>
      </c>
      <c r="F128" s="53" t="n">
        <v>39164</v>
      </c>
      <c r="G128" s="51" t="s">
        <v>100</v>
      </c>
      <c r="H128" s="54" t="s">
        <v>101</v>
      </c>
      <c r="I128" s="55" t="s">
        <v>102</v>
      </c>
    </row>
    <row r="129" customFormat="false" ht="18" hidden="false" customHeight="true" outlineLevel="0" collapsed="false">
      <c r="B129" s="56" t="n">
        <v>45923</v>
      </c>
      <c r="C129" s="57" t="s">
        <v>37</v>
      </c>
      <c r="D129" s="58" t="s">
        <v>97</v>
      </c>
      <c r="E129" s="64" t="s">
        <v>63</v>
      </c>
      <c r="F129" s="60" t="n">
        <v>40846</v>
      </c>
      <c r="G129" s="58" t="s">
        <v>97</v>
      </c>
      <c r="H129" s="61" t="s">
        <v>98</v>
      </c>
      <c r="I129" s="62" t="s">
        <v>99</v>
      </c>
    </row>
    <row r="130" customFormat="false" ht="18" hidden="false" customHeight="true" outlineLevel="0" collapsed="false">
      <c r="B130" s="49" t="n">
        <v>45923</v>
      </c>
      <c r="C130" s="50" t="s">
        <v>37</v>
      </c>
      <c r="D130" s="51" t="s">
        <v>100</v>
      </c>
      <c r="E130" s="52" t="s">
        <v>63</v>
      </c>
      <c r="F130" s="53" t="n">
        <v>26971</v>
      </c>
      <c r="G130" s="51" t="s">
        <v>100</v>
      </c>
      <c r="H130" s="54" t="s">
        <v>101</v>
      </c>
      <c r="I130" s="55" t="s">
        <v>102</v>
      </c>
    </row>
    <row r="131" customFormat="false" ht="18" hidden="false" customHeight="true" outlineLevel="0" collapsed="false">
      <c r="B131" s="56" t="n">
        <v>45923</v>
      </c>
      <c r="C131" s="57" t="s">
        <v>35</v>
      </c>
      <c r="D131" s="58" t="s">
        <v>115</v>
      </c>
      <c r="E131" s="64" t="s">
        <v>63</v>
      </c>
      <c r="F131" s="60" t="n">
        <v>52962</v>
      </c>
      <c r="G131" s="58" t="s">
        <v>115</v>
      </c>
      <c r="H131" s="61" t="s">
        <v>147</v>
      </c>
      <c r="I131" s="62" t="s">
        <v>117</v>
      </c>
    </row>
    <row r="132" customFormat="false" ht="18" hidden="false" customHeight="true" outlineLevel="0" collapsed="false">
      <c r="B132" s="49" t="n">
        <v>45923</v>
      </c>
      <c r="C132" s="50" t="s">
        <v>35</v>
      </c>
      <c r="D132" s="51" t="s">
        <v>115</v>
      </c>
      <c r="E132" s="52" t="s">
        <v>63</v>
      </c>
      <c r="F132" s="53" t="n">
        <v>56491</v>
      </c>
      <c r="G132" s="51" t="s">
        <v>115</v>
      </c>
      <c r="H132" s="54" t="s">
        <v>116</v>
      </c>
      <c r="I132" s="55" t="s">
        <v>117</v>
      </c>
    </row>
    <row r="133" customFormat="false" ht="18" hidden="false" customHeight="true" outlineLevel="0" collapsed="false">
      <c r="B133" s="56" t="n">
        <v>45923</v>
      </c>
      <c r="C133" s="57" t="s">
        <v>28</v>
      </c>
      <c r="D133" s="58" t="s">
        <v>103</v>
      </c>
      <c r="E133" s="64" t="s">
        <v>63</v>
      </c>
      <c r="F133" s="60" t="n">
        <v>3988</v>
      </c>
      <c r="G133" s="58" t="s">
        <v>103</v>
      </c>
      <c r="H133" s="61" t="s">
        <v>104</v>
      </c>
      <c r="I133" s="62" t="s">
        <v>105</v>
      </c>
    </row>
    <row r="134" customFormat="false" ht="18" hidden="false" customHeight="true" outlineLevel="0" collapsed="false">
      <c r="B134" s="49" t="n">
        <v>45937</v>
      </c>
      <c r="C134" s="50" t="s">
        <v>23</v>
      </c>
      <c r="D134" s="51" t="s">
        <v>66</v>
      </c>
      <c r="E134" s="63" t="s">
        <v>67</v>
      </c>
      <c r="F134" s="53" t="n">
        <v>80000</v>
      </c>
      <c r="G134" s="51" t="s">
        <v>66</v>
      </c>
      <c r="H134" s="54" t="s">
        <v>68</v>
      </c>
      <c r="I134" s="55" t="s">
        <v>69</v>
      </c>
    </row>
    <row r="135" customFormat="false" ht="18" hidden="false" customHeight="true" outlineLevel="0" collapsed="false">
      <c r="B135" s="56" t="n">
        <v>45937</v>
      </c>
      <c r="C135" s="57" t="s">
        <v>26</v>
      </c>
      <c r="D135" s="58" t="s">
        <v>66</v>
      </c>
      <c r="E135" s="59" t="s">
        <v>67</v>
      </c>
      <c r="F135" s="60" t="n">
        <v>55000</v>
      </c>
      <c r="G135" s="58" t="s">
        <v>66</v>
      </c>
      <c r="H135" s="61" t="s">
        <v>68</v>
      </c>
      <c r="I135" s="62" t="s">
        <v>69</v>
      </c>
    </row>
    <row r="136" customFormat="false" ht="18" hidden="false" customHeight="true" outlineLevel="0" collapsed="false">
      <c r="B136" s="49" t="n">
        <v>45937</v>
      </c>
      <c r="C136" s="50" t="s">
        <v>20</v>
      </c>
      <c r="D136" s="51" t="s">
        <v>124</v>
      </c>
      <c r="E136" s="52" t="s">
        <v>63</v>
      </c>
      <c r="F136" s="53" t="n">
        <v>24460</v>
      </c>
      <c r="G136" s="51" t="s">
        <v>124</v>
      </c>
      <c r="H136" s="54" t="s">
        <v>125</v>
      </c>
      <c r="I136" s="55" t="s">
        <v>126</v>
      </c>
    </row>
    <row r="137" customFormat="false" ht="18" hidden="false" customHeight="true" outlineLevel="0" collapsed="false">
      <c r="B137" s="56" t="n">
        <v>45937</v>
      </c>
      <c r="C137" s="57" t="s">
        <v>20</v>
      </c>
      <c r="D137" s="58" t="s">
        <v>94</v>
      </c>
      <c r="E137" s="64" t="s">
        <v>63</v>
      </c>
      <c r="F137" s="60" t="n">
        <v>11345</v>
      </c>
      <c r="G137" s="58" t="s">
        <v>94</v>
      </c>
      <c r="H137" s="61" t="s">
        <v>95</v>
      </c>
      <c r="I137" s="62" t="s">
        <v>96</v>
      </c>
    </row>
    <row r="138" customFormat="false" ht="18" hidden="false" customHeight="true" outlineLevel="0" collapsed="false">
      <c r="B138" s="49" t="n">
        <v>45937</v>
      </c>
      <c r="C138" s="50" t="s">
        <v>35</v>
      </c>
      <c r="D138" s="51" t="s">
        <v>66</v>
      </c>
      <c r="E138" s="63" t="s">
        <v>67</v>
      </c>
      <c r="F138" s="53" t="n">
        <v>250000</v>
      </c>
      <c r="G138" s="51" t="s">
        <v>66</v>
      </c>
      <c r="H138" s="54" t="s">
        <v>68</v>
      </c>
      <c r="I138" s="55" t="s">
        <v>69</v>
      </c>
    </row>
    <row r="139" customFormat="false" ht="18" hidden="false" customHeight="true" outlineLevel="0" collapsed="false">
      <c r="B139" s="56" t="n">
        <v>45951</v>
      </c>
      <c r="C139" s="57" t="s">
        <v>33</v>
      </c>
      <c r="D139" s="58" t="s">
        <v>73</v>
      </c>
      <c r="E139" s="64" t="s">
        <v>63</v>
      </c>
      <c r="F139" s="60" t="n">
        <v>5416</v>
      </c>
      <c r="G139" s="58" t="s">
        <v>73</v>
      </c>
      <c r="H139" s="61" t="s">
        <v>74</v>
      </c>
      <c r="I139" s="62" t="s">
        <v>75</v>
      </c>
    </row>
    <row r="140" customFormat="false" ht="18" hidden="false" customHeight="true" outlineLevel="0" collapsed="false">
      <c r="B140" s="49" t="n">
        <v>45951</v>
      </c>
      <c r="C140" s="50" t="s">
        <v>26</v>
      </c>
      <c r="D140" s="51" t="s">
        <v>109</v>
      </c>
      <c r="E140" s="52" t="s">
        <v>63</v>
      </c>
      <c r="F140" s="53" t="n">
        <v>10161</v>
      </c>
      <c r="G140" s="51" t="s">
        <v>109</v>
      </c>
      <c r="H140" s="54" t="s">
        <v>110</v>
      </c>
      <c r="I140" s="55" t="s">
        <v>111</v>
      </c>
    </row>
    <row r="141" customFormat="false" ht="18" hidden="false" customHeight="true" outlineLevel="0" collapsed="false">
      <c r="B141" s="56" t="n">
        <v>45951</v>
      </c>
      <c r="C141" s="57" t="s">
        <v>20</v>
      </c>
      <c r="D141" s="58" t="s">
        <v>124</v>
      </c>
      <c r="E141" s="64" t="s">
        <v>63</v>
      </c>
      <c r="F141" s="60" t="n">
        <v>20161</v>
      </c>
      <c r="G141" s="58" t="s">
        <v>124</v>
      </c>
      <c r="H141" s="61" t="s">
        <v>125</v>
      </c>
      <c r="I141" s="62" t="s">
        <v>126</v>
      </c>
    </row>
    <row r="142" customFormat="false" ht="18" hidden="false" customHeight="true" outlineLevel="0" collapsed="false">
      <c r="B142" s="49" t="n">
        <v>45951</v>
      </c>
      <c r="C142" s="50" t="s">
        <v>37</v>
      </c>
      <c r="D142" s="51" t="s">
        <v>100</v>
      </c>
      <c r="E142" s="52" t="s">
        <v>63</v>
      </c>
      <c r="F142" s="53" t="n">
        <v>12064</v>
      </c>
      <c r="G142" s="51" t="s">
        <v>100</v>
      </c>
      <c r="H142" s="54" t="s">
        <v>101</v>
      </c>
      <c r="I142" s="55" t="s">
        <v>102</v>
      </c>
    </row>
    <row r="143" customFormat="false" ht="18" hidden="false" customHeight="true" outlineLevel="0" collapsed="false">
      <c r="B143" s="56" t="n">
        <v>45951</v>
      </c>
      <c r="C143" s="57" t="s">
        <v>28</v>
      </c>
      <c r="D143" s="58" t="s">
        <v>140</v>
      </c>
      <c r="E143" s="64" t="s">
        <v>63</v>
      </c>
      <c r="F143" s="60" t="n">
        <v>2658</v>
      </c>
      <c r="G143" s="58" t="s">
        <v>140</v>
      </c>
      <c r="H143" s="61" t="s">
        <v>141</v>
      </c>
      <c r="I143" s="62" t="s">
        <v>142</v>
      </c>
    </row>
    <row r="144" customFormat="false" ht="21.75" hidden="false" customHeight="true" outlineLevel="0" collapsed="false">
      <c r="B144" s="65" t="s">
        <v>154</v>
      </c>
      <c r="C144" s="65"/>
      <c r="D144" s="65"/>
      <c r="E144" s="65"/>
      <c r="F144" s="66" t="n">
        <f aca="false">SUMIFS(F4:F143,E4:E143,"Inflow")</f>
        <v>3370000</v>
      </c>
      <c r="G144" s="67"/>
      <c r="H144" s="67"/>
      <c r="I144" s="67"/>
    </row>
    <row r="145" customFormat="false" ht="21.75" hidden="false" customHeight="true" outlineLevel="0" collapsed="false">
      <c r="B145" s="68" t="s">
        <v>155</v>
      </c>
      <c r="C145" s="68"/>
      <c r="D145" s="68"/>
      <c r="E145" s="68"/>
      <c r="F145" s="69" t="n">
        <f aca="false">SUMIFS(F4:F143,E4:E143,"Outflow")</f>
        <v>2453048</v>
      </c>
      <c r="G145" s="70"/>
      <c r="H145" s="70"/>
      <c r="I145" s="70"/>
    </row>
    <row r="146" customFormat="false" ht="24" hidden="false" customHeight="true" outlineLevel="0" collapsed="false">
      <c r="B146" s="33" t="s">
        <v>156</v>
      </c>
      <c r="C146" s="33"/>
      <c r="D146" s="33"/>
      <c r="E146" s="33"/>
      <c r="F146" s="71" t="n">
        <f aca="false">F144-F145</f>
        <v>916952</v>
      </c>
      <c r="G146" s="72"/>
      <c r="H146" s="72"/>
      <c r="I146" s="72"/>
    </row>
    <row r="148" customFormat="false" ht="18" hidden="false" customHeight="true" outlineLevel="0" collapsed="false">
      <c r="B148" s="40" t="s">
        <v>45</v>
      </c>
      <c r="C148" s="40"/>
      <c r="D148" s="40"/>
      <c r="E148" s="40"/>
      <c r="F148" s="40"/>
      <c r="G148" s="40"/>
      <c r="H148" s="40"/>
      <c r="I148" s="40"/>
    </row>
  </sheetData>
  <mergeCells count="5">
    <mergeCell ref="B1:I1"/>
    <mergeCell ref="B144:E144"/>
    <mergeCell ref="B145:E145"/>
    <mergeCell ref="B146:E146"/>
    <mergeCell ref="B148:I14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6" min="5" style="0" width="1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38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42" t="s">
        <v>157</v>
      </c>
      <c r="C1" s="42"/>
      <c r="D1" s="42"/>
      <c r="E1" s="42"/>
      <c r="F1" s="42"/>
      <c r="G1" s="42"/>
      <c r="H1" s="42"/>
      <c r="I1" s="42"/>
    </row>
    <row r="2" customFormat="false" ht="21.75" hidden="false" customHeight="true" outlineLevel="0" collapsed="false">
      <c r="B2" s="73" t="s">
        <v>158</v>
      </c>
      <c r="C2" s="73"/>
      <c r="D2" s="73"/>
      <c r="E2" s="73"/>
      <c r="F2" s="73"/>
      <c r="G2" s="73"/>
      <c r="H2" s="73"/>
      <c r="I2" s="73"/>
    </row>
    <row r="3" customFormat="false" ht="7.5" hidden="false" customHeight="true" outlineLevel="0" collapsed="false"/>
    <row r="4" customFormat="false" ht="27.75" hidden="false" customHeight="true" outlineLevel="0" collapsed="false">
      <c r="B4" s="44" t="s">
        <v>159</v>
      </c>
      <c r="C4" s="43" t="s">
        <v>160</v>
      </c>
      <c r="D4" s="43" t="s">
        <v>161</v>
      </c>
      <c r="E4" s="43" t="s">
        <v>162</v>
      </c>
      <c r="F4" s="43" t="s">
        <v>163</v>
      </c>
      <c r="G4" s="43" t="s">
        <v>164</v>
      </c>
      <c r="H4" s="43" t="s">
        <v>19</v>
      </c>
      <c r="I4" s="44" t="s">
        <v>165</v>
      </c>
    </row>
    <row r="5" customFormat="false" ht="19.5" hidden="false" customHeight="true" outlineLevel="0" collapsed="false">
      <c r="B5" s="20" t="s">
        <v>166</v>
      </c>
      <c r="C5" s="22" t="n">
        <v>4285420</v>
      </c>
      <c r="D5" s="22" t="n">
        <v>4325120</v>
      </c>
      <c r="E5" s="22" t="n">
        <v>45200</v>
      </c>
      <c r="F5" s="22" t="n">
        <v>5500</v>
      </c>
      <c r="G5" s="23" t="n">
        <f aca="false">(C5+E5-F5)-D5</f>
        <v>0</v>
      </c>
      <c r="H5" s="25" t="str">
        <f aca="false">IF(ABS(G5)&lt;=100,"Reconciled","Review")</f>
        <v>Reconciled</v>
      </c>
      <c r="I5" s="74" t="s">
        <v>167</v>
      </c>
    </row>
    <row r="6" customFormat="false" ht="19.5" hidden="false" customHeight="true" outlineLevel="0" collapsed="false">
      <c r="B6" s="27" t="s">
        <v>168</v>
      </c>
      <c r="C6" s="29" t="n">
        <v>4512880</v>
      </c>
      <c r="D6" s="29" t="n">
        <v>4548650</v>
      </c>
      <c r="E6" s="29" t="n">
        <v>38770</v>
      </c>
      <c r="F6" s="29" t="n">
        <v>3000</v>
      </c>
      <c r="G6" s="30" t="n">
        <f aca="false">(C6+E6-F6)-D6</f>
        <v>0</v>
      </c>
      <c r="H6" s="32" t="str">
        <f aca="false">IF(ABS(G6)&lt;=100,"Reconciled","Review")</f>
        <v>Reconciled</v>
      </c>
      <c r="I6" s="75" t="s">
        <v>169</v>
      </c>
    </row>
    <row r="7" customFormat="false" ht="19.5" hidden="false" customHeight="true" outlineLevel="0" collapsed="false">
      <c r="B7" s="20" t="s">
        <v>170</v>
      </c>
      <c r="C7" s="22" t="n">
        <v>4728105</v>
      </c>
      <c r="D7" s="22" t="n">
        <v>4765890</v>
      </c>
      <c r="E7" s="22" t="n">
        <v>42785</v>
      </c>
      <c r="F7" s="22" t="n">
        <v>5000</v>
      </c>
      <c r="G7" s="23" t="n">
        <f aca="false">(C7+E7-F7)-D7</f>
        <v>0</v>
      </c>
      <c r="H7" s="25" t="str">
        <f aca="false">IF(ABS(G7)&lt;=100,"Reconciled","Review")</f>
        <v>Reconciled</v>
      </c>
      <c r="I7" s="74" t="s">
        <v>171</v>
      </c>
    </row>
    <row r="8" customFormat="false" ht="19.5" hidden="false" customHeight="true" outlineLevel="0" collapsed="false">
      <c r="B8" s="27" t="s">
        <v>172</v>
      </c>
      <c r="C8" s="29" t="n">
        <v>4950220</v>
      </c>
      <c r="D8" s="29" t="n">
        <v>4982940</v>
      </c>
      <c r="E8" s="29" t="n">
        <v>35720</v>
      </c>
      <c r="F8" s="29" t="n">
        <v>3000</v>
      </c>
      <c r="G8" s="30" t="n">
        <f aca="false">(C8+E8-F8)-D8</f>
        <v>0</v>
      </c>
      <c r="H8" s="32" t="str">
        <f aca="false">IF(ABS(G8)&lt;=100,"Reconciled","Review")</f>
        <v>Reconciled</v>
      </c>
      <c r="I8" s="75" t="s">
        <v>173</v>
      </c>
    </row>
    <row r="9" customFormat="false" ht="19.5" hidden="false" customHeight="true" outlineLevel="0" collapsed="false">
      <c r="B9" s="20" t="s">
        <v>174</v>
      </c>
      <c r="C9" s="22" t="n">
        <v>5120885</v>
      </c>
      <c r="D9" s="22" t="n">
        <v>5168335</v>
      </c>
      <c r="E9" s="22" t="n">
        <v>49450</v>
      </c>
      <c r="F9" s="22" t="n">
        <v>2000</v>
      </c>
      <c r="G9" s="23" t="n">
        <f aca="false">(C9+E9-F9)-D9</f>
        <v>0</v>
      </c>
      <c r="H9" s="25" t="str">
        <f aca="false">IF(ABS(G9)&lt;=100,"Reconciled","Review")</f>
        <v>Reconciled</v>
      </c>
      <c r="I9" s="74" t="s">
        <v>175</v>
      </c>
    </row>
    <row r="10" customFormat="false" ht="19.5" hidden="false" customHeight="true" outlineLevel="0" collapsed="false">
      <c r="B10" s="27" t="s">
        <v>176</v>
      </c>
      <c r="C10" s="29" t="n">
        <v>5315440</v>
      </c>
      <c r="D10" s="29" t="n">
        <v>5360740</v>
      </c>
      <c r="E10" s="29" t="n">
        <v>48300</v>
      </c>
      <c r="F10" s="29" t="n">
        <v>3000</v>
      </c>
      <c r="G10" s="30" t="n">
        <f aca="false">(C10+E10-F10)-D10</f>
        <v>0</v>
      </c>
      <c r="H10" s="32" t="str">
        <f aca="false">IF(ABS(G10)&lt;=100,"Reconciled","Review")</f>
        <v>Reconciled</v>
      </c>
      <c r="I10" s="75" t="s">
        <v>177</v>
      </c>
    </row>
    <row r="11" customFormat="false" ht="19.5" hidden="false" customHeight="true" outlineLevel="0" collapsed="false">
      <c r="B11" s="20" t="s">
        <v>178</v>
      </c>
      <c r="C11" s="22" t="n">
        <v>5498220</v>
      </c>
      <c r="D11" s="22" t="n">
        <v>5541610</v>
      </c>
      <c r="E11" s="22" t="n">
        <v>46390</v>
      </c>
      <c r="F11" s="22" t="n">
        <v>3000</v>
      </c>
      <c r="G11" s="23" t="n">
        <f aca="false">(C11+E11-F11)-D11</f>
        <v>0</v>
      </c>
      <c r="H11" s="25" t="str">
        <f aca="false">IF(ABS(G11)&lt;=100,"Reconciled","Review")</f>
        <v>Reconciled</v>
      </c>
      <c r="I11" s="74" t="s">
        <v>179</v>
      </c>
    </row>
    <row r="12" customFormat="false" ht="19.5" hidden="false" customHeight="true" outlineLevel="0" collapsed="false">
      <c r="B12" s="27" t="s">
        <v>180</v>
      </c>
      <c r="C12" s="29" t="n">
        <v>5680150</v>
      </c>
      <c r="D12" s="29" t="n">
        <v>5719450</v>
      </c>
      <c r="E12" s="29" t="n">
        <v>42300</v>
      </c>
      <c r="F12" s="29" t="n">
        <v>3000</v>
      </c>
      <c r="G12" s="30" t="n">
        <f aca="false">(C12+E12-F12)-D12</f>
        <v>0</v>
      </c>
      <c r="H12" s="32" t="str">
        <f aca="false">IF(ABS(G12)&lt;=100,"Reconciled","Review")</f>
        <v>Reconciled</v>
      </c>
      <c r="I12" s="75" t="s">
        <v>181</v>
      </c>
    </row>
    <row r="13" customFormat="false" ht="19.5" hidden="false" customHeight="true" outlineLevel="0" collapsed="false">
      <c r="B13" s="20" t="s">
        <v>182</v>
      </c>
      <c r="C13" s="22" t="n">
        <v>5845910</v>
      </c>
      <c r="D13" s="22" t="n">
        <v>5883560</v>
      </c>
      <c r="E13" s="22" t="n">
        <v>40650</v>
      </c>
      <c r="F13" s="22" t="n">
        <v>3000</v>
      </c>
      <c r="G13" s="23" t="n">
        <f aca="false">(C13+E13-F13)-D13</f>
        <v>0</v>
      </c>
      <c r="H13" s="25" t="str">
        <f aca="false">IF(ABS(G13)&lt;=100,"Reconciled","Review")</f>
        <v>Reconciled</v>
      </c>
      <c r="I13" s="74" t="s">
        <v>183</v>
      </c>
    </row>
    <row r="14" customFormat="false" ht="19.5" hidden="false" customHeight="true" outlineLevel="0" collapsed="false">
      <c r="B14" s="27" t="s">
        <v>184</v>
      </c>
      <c r="C14" s="29" t="n">
        <v>5990280</v>
      </c>
      <c r="D14" s="29" t="n">
        <v>6026430</v>
      </c>
      <c r="E14" s="29" t="n">
        <v>39150</v>
      </c>
      <c r="F14" s="29" t="n">
        <v>3000</v>
      </c>
      <c r="G14" s="30" t="n">
        <f aca="false">(C14+E14-F14)-D14</f>
        <v>0</v>
      </c>
      <c r="H14" s="32" t="str">
        <f aca="false">IF(ABS(G14)&lt;=100,"Reconciled","Review")</f>
        <v>Reconciled</v>
      </c>
      <c r="I14" s="75" t="s">
        <v>185</v>
      </c>
    </row>
    <row r="15" customFormat="false" ht="19.5" hidden="false" customHeight="true" outlineLevel="0" collapsed="false">
      <c r="B15" s="20" t="s">
        <v>186</v>
      </c>
      <c r="C15" s="22" t="n">
        <v>6120450</v>
      </c>
      <c r="D15" s="22" t="n">
        <v>6157260</v>
      </c>
      <c r="E15" s="22" t="n">
        <v>39810</v>
      </c>
      <c r="F15" s="22" t="n">
        <v>3000</v>
      </c>
      <c r="G15" s="23" t="n">
        <f aca="false">(C15+E15-F15)-D15</f>
        <v>0</v>
      </c>
      <c r="H15" s="25" t="str">
        <f aca="false">IF(ABS(G15)&lt;=100,"Reconciled","Review")</f>
        <v>Reconciled</v>
      </c>
      <c r="I15" s="74" t="s">
        <v>187</v>
      </c>
    </row>
    <row r="16" customFormat="false" ht="19.5" hidden="false" customHeight="true" outlineLevel="0" collapsed="false">
      <c r="B16" s="27" t="s">
        <v>188</v>
      </c>
      <c r="C16" s="29" t="n">
        <v>6288920</v>
      </c>
      <c r="D16" s="29" t="n">
        <v>6328290</v>
      </c>
      <c r="E16" s="29" t="n">
        <v>42370</v>
      </c>
      <c r="F16" s="29" t="n">
        <v>3000</v>
      </c>
      <c r="G16" s="30" t="n">
        <f aca="false">(C16+E16-F16)-D16</f>
        <v>0</v>
      </c>
      <c r="H16" s="32" t="str">
        <f aca="false">IF(ABS(G16)&lt;=100,"Reconciled","Review")</f>
        <v>Reconciled</v>
      </c>
      <c r="I16" s="75" t="s">
        <v>189</v>
      </c>
    </row>
    <row r="17" customFormat="false" ht="25.5" hidden="false" customHeight="true" outlineLevel="0" collapsed="false">
      <c r="B17" s="33" t="s">
        <v>39</v>
      </c>
      <c r="C17" s="35" t="n">
        <f aca="false">SUM(C5:C16)</f>
        <v>64336880</v>
      </c>
      <c r="D17" s="35" t="n">
        <f aca="false">SUM(D5:D16)</f>
        <v>64808275</v>
      </c>
      <c r="E17" s="35" t="n">
        <f aca="false">SUM(E5:E16)</f>
        <v>510895</v>
      </c>
      <c r="F17" s="35" t="n">
        <f aca="false">SUM(F5:F16)</f>
        <v>39500</v>
      </c>
      <c r="G17" s="35" t="n">
        <f aca="false">SUM(G5:G16)</f>
        <v>0</v>
      </c>
      <c r="H17" s="37" t="s">
        <v>190</v>
      </c>
      <c r="I17" s="33" t="s">
        <v>191</v>
      </c>
    </row>
    <row r="19" customFormat="false" ht="27.75" hidden="false" customHeight="true" outlineLevel="0" collapsed="false">
      <c r="B19" s="76" t="s">
        <v>192</v>
      </c>
      <c r="C19" s="76"/>
      <c r="D19" s="76"/>
      <c r="E19" s="76"/>
      <c r="F19" s="76"/>
      <c r="G19" s="76"/>
      <c r="H19" s="76"/>
      <c r="I19" s="76"/>
    </row>
    <row r="20" customFormat="false" ht="21.75" hidden="false" customHeight="true" outlineLevel="0" collapsed="false">
      <c r="B20" s="38" t="s">
        <v>193</v>
      </c>
      <c r="C20" s="38"/>
      <c r="D20" s="38"/>
      <c r="E20" s="38"/>
      <c r="F20" s="38"/>
      <c r="G20" s="38"/>
      <c r="H20" s="38"/>
      <c r="I20" s="38"/>
    </row>
    <row r="21" customFormat="false" ht="21.75" hidden="false" customHeight="true" outlineLevel="0" collapsed="false">
      <c r="B21" s="39" t="s">
        <v>194</v>
      </c>
      <c r="C21" s="39"/>
      <c r="D21" s="39"/>
      <c r="E21" s="39"/>
      <c r="F21" s="39"/>
      <c r="G21" s="39"/>
      <c r="H21" s="39"/>
      <c r="I21" s="39"/>
    </row>
    <row r="22" customFormat="false" ht="21.75" hidden="false" customHeight="true" outlineLevel="0" collapsed="false">
      <c r="B22" s="38" t="s">
        <v>195</v>
      </c>
      <c r="C22" s="38"/>
      <c r="D22" s="38"/>
      <c r="E22" s="38"/>
      <c r="F22" s="38"/>
      <c r="G22" s="38"/>
      <c r="H22" s="38"/>
      <c r="I22" s="38"/>
    </row>
    <row r="23" customFormat="false" ht="21.75" hidden="false" customHeight="true" outlineLevel="0" collapsed="false">
      <c r="B23" s="39" t="s">
        <v>196</v>
      </c>
      <c r="C23" s="39"/>
      <c r="D23" s="39"/>
      <c r="E23" s="39"/>
      <c r="F23" s="39"/>
      <c r="G23" s="39"/>
      <c r="H23" s="39"/>
      <c r="I23" s="39"/>
    </row>
    <row r="24" customFormat="false" ht="21.75" hidden="false" customHeight="true" outlineLevel="0" collapsed="false">
      <c r="B24" s="38" t="s">
        <v>197</v>
      </c>
      <c r="C24" s="38"/>
      <c r="D24" s="38"/>
      <c r="E24" s="38"/>
      <c r="F24" s="38"/>
      <c r="G24" s="38"/>
      <c r="H24" s="38"/>
      <c r="I24" s="38"/>
    </row>
    <row r="26" customFormat="false" ht="18" hidden="false" customHeight="true" outlineLevel="0" collapsed="false">
      <c r="B26" s="40" t="s">
        <v>45</v>
      </c>
      <c r="C26" s="40"/>
      <c r="D26" s="40"/>
      <c r="E26" s="40"/>
      <c r="F26" s="40"/>
      <c r="G26" s="40"/>
      <c r="H26" s="40"/>
      <c r="I26" s="40"/>
    </row>
  </sheetData>
  <mergeCells count="9">
    <mergeCell ref="B1:I1"/>
    <mergeCell ref="B2:I2"/>
    <mergeCell ref="B19:I19"/>
    <mergeCell ref="B20:I20"/>
    <mergeCell ref="B21:I21"/>
    <mergeCell ref="B22:I22"/>
    <mergeCell ref="B23:I23"/>
    <mergeCell ref="B24:I24"/>
    <mergeCell ref="B26:I26"/>
  </mergeCells>
  <conditionalFormatting sqref="H5:H16">
    <cfRule type="expression" priority="2" aboveAverage="0" equalAverage="0" bottom="0" percent="0" rank="0" text="" dxfId="1">
      <formula>EXACT(H5,"Review")</formula>
    </cfRule>
    <cfRule type="expression" priority="3" aboveAverage="0" equalAverage="0" bottom="0" percent="0" rank="0" text="" dxfId="3">
      <formula>EXACT(H5,"Reconciled")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3"/>
    <col collapsed="false" customWidth="true" hidden="false" outlineLevel="0" max="10" min="8" style="0" width="14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42" t="s">
        <v>198</v>
      </c>
      <c r="C1" s="42"/>
      <c r="D1" s="42"/>
      <c r="E1" s="42"/>
      <c r="F1" s="42"/>
      <c r="G1" s="42"/>
      <c r="H1" s="42"/>
      <c r="I1" s="42"/>
      <c r="J1" s="42"/>
    </row>
    <row r="2" customFormat="false" ht="13.5" hidden="false" customHeight="true" outlineLevel="0" collapsed="false"/>
    <row r="3" customFormat="false" ht="25.5" hidden="false" customHeight="true" outlineLevel="0" collapsed="false">
      <c r="B3" s="76" t="s">
        <v>199</v>
      </c>
      <c r="C3" s="76"/>
      <c r="D3" s="76"/>
      <c r="E3" s="76"/>
      <c r="F3" s="76"/>
      <c r="H3" s="76" t="s">
        <v>200</v>
      </c>
      <c r="I3" s="76"/>
      <c r="J3" s="76"/>
    </row>
    <row r="4" customFormat="false" ht="24" hidden="false" customHeight="true" outlineLevel="0" collapsed="false">
      <c r="B4" s="44" t="s">
        <v>201</v>
      </c>
      <c r="C4" s="43" t="s">
        <v>202</v>
      </c>
      <c r="D4" s="43" t="s">
        <v>203</v>
      </c>
      <c r="E4" s="43" t="s">
        <v>50</v>
      </c>
      <c r="F4" s="43" t="s">
        <v>204</v>
      </c>
      <c r="H4" s="16" t="s">
        <v>13</v>
      </c>
      <c r="I4" s="18" t="s">
        <v>202</v>
      </c>
      <c r="J4" s="18" t="s">
        <v>203</v>
      </c>
    </row>
    <row r="5" customFormat="false" ht="19.5" hidden="false" customHeight="true" outlineLevel="0" collapsed="false">
      <c r="B5" s="20" t="s">
        <v>205</v>
      </c>
      <c r="C5" s="22" t="n">
        <f aca="false">SUMIFS(Transactions!F:F,Transactions!C:C,"GF-001",Transactions!E:E,"Outflow")</f>
        <v>315548</v>
      </c>
      <c r="D5" s="24" t="n">
        <f aca="false">IFERROR(C5/C$13,0)</f>
        <v>0.12863506951352</v>
      </c>
      <c r="E5" s="22" t="n">
        <v>1250000</v>
      </c>
      <c r="F5" s="23" t="n">
        <f aca="false">E5-C5</f>
        <v>934452</v>
      </c>
      <c r="H5" s="77" t="s">
        <v>22</v>
      </c>
      <c r="I5" s="22" t="n">
        <f aca="false">SUMIFS(Transactions!F:F,Transactions!C:C,"GF-001",Transactions!E:E,"Outflow")+SUMIFS(Transactions!F:F,Transactions!C:C,"TR-101",Transactions!E:E,"Outflow")+SUMIFS(Transactions!F:F,Transactions!C:C,"CM-440",Transactions!E:E,"Outflow")+SUMIFS(Transactions!F:F,Transactions!C:C,"OP-220",Transactions!E:E,"Outflow")</f>
        <v>812844</v>
      </c>
      <c r="J5" s="24" t="n">
        <f aca="false">IFERROR(I5/I$8,0)</f>
        <v>0.331360821312914</v>
      </c>
    </row>
    <row r="6" customFormat="false" ht="19.5" hidden="false" customHeight="true" outlineLevel="0" collapsed="false">
      <c r="B6" s="27" t="s">
        <v>206</v>
      </c>
      <c r="C6" s="29" t="n">
        <f aca="false">SUMIFS(Transactions!F:F,Transactions!C:C,"FG-204",Transactions!E:E,"Outflow")</f>
        <v>368229</v>
      </c>
      <c r="D6" s="31" t="n">
        <f aca="false">IFERROR(C6/C$13,0)</f>
        <v>0.150110800930108</v>
      </c>
      <c r="E6" s="29" t="n">
        <v>850000</v>
      </c>
      <c r="F6" s="30" t="n">
        <f aca="false">E6-C6</f>
        <v>481771</v>
      </c>
      <c r="H6" s="78" t="s">
        <v>25</v>
      </c>
      <c r="I6" s="29" t="n">
        <f aca="false">SUMIFS(Transactions!F:F,Transactions!C:C,"FG-204",Transactions!E:E,"Outflow")+SUMIFS(Transactions!F:F,Transactions!C:C,"FG-315",Transactions!E:E,"Outflow")+SUMIFS(Transactions!F:F,Transactions!C:C,"SG-112",Transactions!E:E,"Outflow")</f>
        <v>1543401</v>
      </c>
      <c r="J6" s="31" t="n">
        <f aca="false">IFERROR(I6/I$8,0)</f>
        <v>0.629176844480825</v>
      </c>
    </row>
    <row r="7" customFormat="false" ht="19.5" hidden="false" customHeight="true" outlineLevel="0" collapsed="false">
      <c r="B7" s="20" t="s">
        <v>207</v>
      </c>
      <c r="C7" s="22" t="n">
        <f aca="false">SUMIFS(Transactions!F:F,Transactions!C:C,"FG-315",Transactions!E:E,"Outflow")</f>
        <v>275434</v>
      </c>
      <c r="D7" s="24" t="n">
        <f aca="false">IFERROR(C7/C$13,0)</f>
        <v>0.11228235240403</v>
      </c>
      <c r="E7" s="22" t="n">
        <v>620000</v>
      </c>
      <c r="F7" s="23" t="n">
        <f aca="false">E7-C7</f>
        <v>344566</v>
      </c>
      <c r="H7" s="77" t="s">
        <v>32</v>
      </c>
      <c r="I7" s="22" t="n">
        <f aca="false">SUMIFS(Transactions!F:F,Transactions!C:C,"EV-050",Transactions!E:E,"Outflow")</f>
        <v>96803</v>
      </c>
      <c r="J7" s="24" t="n">
        <f aca="false">IFERROR(I7/I$8,0)</f>
        <v>0.039462334206261</v>
      </c>
    </row>
    <row r="8" customFormat="false" ht="25.5" hidden="false" customHeight="true" outlineLevel="0" collapsed="false">
      <c r="B8" s="27" t="s">
        <v>208</v>
      </c>
      <c r="C8" s="29" t="n">
        <f aca="false">SUMIFS(Transactions!F:F,Transactions!C:C,"TR-101",Transactions!E:E,"Outflow")</f>
        <v>36476</v>
      </c>
      <c r="D8" s="31" t="n">
        <f aca="false">IFERROR(C8/C$13,0)</f>
        <v>0.0148696641892046</v>
      </c>
      <c r="E8" s="29" t="n">
        <v>185000</v>
      </c>
      <c r="F8" s="30" t="n">
        <f aca="false">E8-C8</f>
        <v>148524</v>
      </c>
      <c r="H8" s="33" t="s">
        <v>39</v>
      </c>
      <c r="I8" s="35" t="n">
        <f aca="false">SUM(I5:I7)</f>
        <v>2453048</v>
      </c>
      <c r="J8" s="37" t="s">
        <v>209</v>
      </c>
    </row>
    <row r="9" customFormat="false" ht="19.5" hidden="false" customHeight="true" outlineLevel="0" collapsed="false">
      <c r="B9" s="20" t="s">
        <v>210</v>
      </c>
      <c r="C9" s="22" t="n">
        <f aca="false">SUMIFS(Transactions!F:F,Transactions!C:C,"EV-050",Transactions!E:E,"Outflow")</f>
        <v>96803</v>
      </c>
      <c r="D9" s="24" t="n">
        <f aca="false">IFERROR(C9/C$13,0)</f>
        <v>0.039462334206261</v>
      </c>
      <c r="E9" s="22" t="n">
        <v>60000</v>
      </c>
      <c r="F9" s="23" t="n">
        <f aca="false">E9-C9</f>
        <v>-36803</v>
      </c>
    </row>
    <row r="10" customFormat="false" ht="19.5" hidden="false" customHeight="true" outlineLevel="0" collapsed="false">
      <c r="B10" s="27" t="s">
        <v>211</v>
      </c>
      <c r="C10" s="29" t="n">
        <f aca="false">SUMIFS(Transactions!F:F,Transactions!C:C,"CM-440",Transactions!E:E,"Outflow")</f>
        <v>132688</v>
      </c>
      <c r="D10" s="31" t="n">
        <f aca="false">IFERROR(C10/C$13,0)</f>
        <v>0.0540910736357381</v>
      </c>
      <c r="E10" s="29" t="n">
        <v>425000</v>
      </c>
      <c r="F10" s="30" t="n">
        <f aca="false">E10-C10</f>
        <v>292312</v>
      </c>
    </row>
    <row r="11" customFormat="false" ht="19.5" hidden="false" customHeight="true" outlineLevel="0" collapsed="false">
      <c r="B11" s="20" t="s">
        <v>212</v>
      </c>
      <c r="C11" s="22" t="n">
        <f aca="false">SUMIFS(Transactions!F:F,Transactions!C:C,"SG-112",Transactions!E:E,"Outflow")</f>
        <v>899738</v>
      </c>
      <c r="D11" s="24" t="n">
        <f aca="false">IFERROR(C11/C$13,0)</f>
        <v>0.366783691146688</v>
      </c>
      <c r="E11" s="22" t="n">
        <v>1150000</v>
      </c>
      <c r="F11" s="23" t="n">
        <f aca="false">E11-C11</f>
        <v>250262</v>
      </c>
    </row>
    <row r="12" customFormat="false" ht="19.5" hidden="false" customHeight="true" outlineLevel="0" collapsed="false">
      <c r="B12" s="27" t="s">
        <v>213</v>
      </c>
      <c r="C12" s="29" t="n">
        <f aca="false">SUMIFS(Transactions!F:F,Transactions!C:C,"OP-220",Transactions!E:E,"Outflow")</f>
        <v>328132</v>
      </c>
      <c r="D12" s="31" t="n">
        <f aca="false">IFERROR(C12/C$13,0)</f>
        <v>0.133765013974451</v>
      </c>
      <c r="E12" s="29" t="n">
        <v>980000</v>
      </c>
      <c r="F12" s="30" t="n">
        <f aca="false">E12-C12</f>
        <v>651868</v>
      </c>
    </row>
    <row r="13" customFormat="false" ht="25.5" hidden="false" customHeight="true" outlineLevel="0" collapsed="false">
      <c r="B13" s="33" t="s">
        <v>39</v>
      </c>
      <c r="C13" s="35" t="n">
        <f aca="false">SUM(C5:C12)</f>
        <v>2453048</v>
      </c>
      <c r="D13" s="37" t="s">
        <v>209</v>
      </c>
      <c r="E13" s="35" t="n">
        <f aca="false">SUM(E5:E12)</f>
        <v>5520000</v>
      </c>
      <c r="F13" s="35" t="n">
        <f aca="false">E13-C13</f>
        <v>3066952</v>
      </c>
    </row>
    <row r="16" customFormat="false" ht="18" hidden="false" customHeight="true" outlineLevel="0" collapsed="false">
      <c r="B16" s="40" t="s">
        <v>45</v>
      </c>
      <c r="C16" s="40"/>
      <c r="D16" s="40"/>
      <c r="E16" s="40"/>
      <c r="F16" s="40"/>
      <c r="G16" s="40"/>
      <c r="H16" s="40"/>
      <c r="I16" s="40"/>
      <c r="J16" s="40"/>
    </row>
  </sheetData>
  <mergeCells count="4">
    <mergeCell ref="B1:J1"/>
    <mergeCell ref="B3:F3"/>
    <mergeCell ref="H3:J3"/>
    <mergeCell ref="B16:J16"/>
  </mergeCells>
  <conditionalFormatting sqref="F5:F12">
    <cfRule type="dataBar" priority="2">
      <dataBar showValue="1" minLength="10" maxLength="90">
        <cfvo type="min" val="0"/>
        <cfvo type="max" val="0"/>
        <color rgb="FF0A5FAD"/>
      </dataBar>
      <extLst>
        <ext xmlns:x14="http://schemas.microsoft.com/office/spreadsheetml/2009/9/main" uri="{B025F937-C7B1-47D3-B67F-A62EFF666E3E}">
          <x14:id>{93B760B4-75A4-4160-A958-10B74EE4E6AF}</x14:id>
        </ext>
      </extLst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B760B4-75A4-4160-A958-10B74EE4E6AF}">
            <x14:dataBar minLength="10" maxLength="90" axisPosition="none" gradient="true">
              <x14:cfvo type="min"/>
              <x14:cfvo type="max"/>
              <x14:negativeFillColor rgb="FF0A5FAD"/>
              <x14:axisColor rgb="FF000000"/>
            </x14:dataBar>
          </x14:cfRule>
          <xm:sqref>F5:F12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9" t="s">
        <v>201</v>
      </c>
      <c r="B1" s="80" t="s">
        <v>214</v>
      </c>
      <c r="C1" s="80" t="s">
        <v>202</v>
      </c>
      <c r="E1" s="79" t="s">
        <v>13</v>
      </c>
      <c r="F1" s="80" t="s">
        <v>202</v>
      </c>
      <c r="H1" s="80" t="s">
        <v>159</v>
      </c>
      <c r="I1" s="80" t="s">
        <v>214</v>
      </c>
      <c r="J1" s="80" t="s">
        <v>202</v>
      </c>
      <c r="K1" s="80" t="s">
        <v>215</v>
      </c>
      <c r="M1" s="80" t="s">
        <v>159</v>
      </c>
      <c r="N1" s="80" t="s">
        <v>164</v>
      </c>
    </row>
    <row r="2" customFormat="false" ht="15" hidden="false" customHeight="false" outlineLevel="0" collapsed="false">
      <c r="A2" s="81" t="s">
        <v>20</v>
      </c>
      <c r="B2" s="82" t="n">
        <f aca="false">Dashboard!F12</f>
        <v>668000</v>
      </c>
      <c r="C2" s="82" t="n">
        <f aca="false">Dashboard!G12</f>
        <v>315548</v>
      </c>
      <c r="E2" s="81" t="s">
        <v>22</v>
      </c>
      <c r="F2" s="82" t="n">
        <f aca="false">'Pivot Summary'!I5</f>
        <v>812844</v>
      </c>
      <c r="H2" s="83" t="s">
        <v>216</v>
      </c>
      <c r="I2" s="82" t="n">
        <f aca="false">SUMIFS(Transactions!F:F,Transactions!B:B,"&gt;="&amp;DATE(2025,1,1),Transactions!B:B,"&lt;"&amp;DATE(2025,1+1,1),Transactions!E:E,"Inflow")</f>
        <v>590000</v>
      </c>
      <c r="J2" s="82" t="n">
        <f aca="false">SUMIFS(Transactions!F:F,Transactions!B:B,"&gt;="&amp;DATE(2025,1,1),Transactions!B:B,"&lt;"&amp;DATE(2025,1+1,1),Transactions!E:E,"Outflow")</f>
        <v>83148</v>
      </c>
      <c r="K2" s="84" t="n">
        <f aca="false">I2-J2</f>
        <v>506852</v>
      </c>
      <c r="M2" s="81" t="str">
        <f aca="false">Reconciliation!B5</f>
        <v>January 2025</v>
      </c>
      <c r="N2" s="82" t="n">
        <f aca="false">Reconciliation!G5</f>
        <v>0</v>
      </c>
    </row>
    <row r="3" customFormat="false" ht="15" hidden="false" customHeight="false" outlineLevel="0" collapsed="false">
      <c r="A3" s="81" t="s">
        <v>23</v>
      </c>
      <c r="B3" s="82" t="n">
        <f aca="false">Dashboard!F13</f>
        <v>370000</v>
      </c>
      <c r="C3" s="82" t="n">
        <f aca="false">Dashboard!G13</f>
        <v>368229</v>
      </c>
      <c r="E3" s="81" t="s">
        <v>25</v>
      </c>
      <c r="F3" s="82" t="n">
        <f aca="false">'Pivot Summary'!I6</f>
        <v>1543401</v>
      </c>
      <c r="H3" s="83" t="s">
        <v>217</v>
      </c>
      <c r="I3" s="82" t="n">
        <f aca="false">SUMIFS(Transactions!F:F,Transactions!B:B,"&gt;="&amp;DATE(2025,2,1),Transactions!B:B,"&lt;"&amp;DATE(2025,2+1,1),Transactions!E:E,"Inflow")</f>
        <v>122000</v>
      </c>
      <c r="J3" s="82" t="n">
        <f aca="false">SUMIFS(Transactions!F:F,Transactions!B:B,"&gt;="&amp;DATE(2025,2,1),Transactions!B:B,"&lt;"&amp;DATE(2025,2+1,1),Transactions!E:E,"Outflow")</f>
        <v>263697</v>
      </c>
      <c r="K3" s="84" t="n">
        <f aca="false">I3-J3</f>
        <v>-141697</v>
      </c>
      <c r="M3" s="81" t="str">
        <f aca="false">Reconciliation!B6</f>
        <v>February 2025</v>
      </c>
      <c r="N3" s="82" t="n">
        <f aca="false">Reconciliation!G6</f>
        <v>0</v>
      </c>
    </row>
    <row r="4" customFormat="false" ht="15" hidden="false" customHeight="false" outlineLevel="0" collapsed="false">
      <c r="A4" s="81" t="s">
        <v>26</v>
      </c>
      <c r="B4" s="82" t="n">
        <f aca="false">Dashboard!F14</f>
        <v>260000</v>
      </c>
      <c r="C4" s="82" t="n">
        <f aca="false">Dashboard!G14</f>
        <v>275434</v>
      </c>
      <c r="E4" s="81" t="s">
        <v>32</v>
      </c>
      <c r="F4" s="82" t="n">
        <f aca="false">'Pivot Summary'!I7</f>
        <v>96803</v>
      </c>
      <c r="H4" s="83" t="s">
        <v>218</v>
      </c>
      <c r="I4" s="82" t="n">
        <f aca="false">SUMIFS(Transactions!F:F,Transactions!B:B,"&gt;="&amp;DATE(2025,3,1),Transactions!B:B,"&lt;"&amp;DATE(2025,3+1,1),Transactions!E:E,"Inflow")</f>
        <v>280000</v>
      </c>
      <c r="J4" s="82" t="n">
        <f aca="false">SUMIFS(Transactions!F:F,Transactions!B:B,"&gt;="&amp;DATE(2025,3,1),Transactions!B:B,"&lt;"&amp;DATE(2025,3+1,1),Transactions!E:E,"Outflow")</f>
        <v>333053</v>
      </c>
      <c r="K4" s="84" t="n">
        <f aca="false">I4-J4</f>
        <v>-53053</v>
      </c>
      <c r="M4" s="81" t="str">
        <f aca="false">Reconciliation!B7</f>
        <v>March 2025</v>
      </c>
      <c r="N4" s="82" t="n">
        <f aca="false">Reconciliation!G7</f>
        <v>0</v>
      </c>
    </row>
    <row r="5" customFormat="false" ht="15" hidden="false" customHeight="false" outlineLevel="0" collapsed="false">
      <c r="A5" s="81" t="s">
        <v>28</v>
      </c>
      <c r="B5" s="82" t="n">
        <f aca="false">Dashboard!F15</f>
        <v>115000</v>
      </c>
      <c r="C5" s="82" t="n">
        <f aca="false">Dashboard!G15</f>
        <v>36476</v>
      </c>
      <c r="H5" s="83" t="s">
        <v>219</v>
      </c>
      <c r="I5" s="82" t="n">
        <f aca="false">SUMIFS(Transactions!F:F,Transactions!B:B,"&gt;="&amp;DATE(2025,4,1),Transactions!B:B,"&lt;"&amp;DATE(2025,4+1,1),Transactions!E:E,"Inflow")</f>
        <v>372000</v>
      </c>
      <c r="J5" s="82" t="n">
        <f aca="false">SUMIFS(Transactions!F:F,Transactions!B:B,"&gt;="&amp;DATE(2025,4,1),Transactions!B:B,"&lt;"&amp;DATE(2025,4+1,1),Transactions!E:E,"Outflow")</f>
        <v>465443</v>
      </c>
      <c r="K5" s="84" t="n">
        <f aca="false">I5-J5</f>
        <v>-93443</v>
      </c>
      <c r="M5" s="81" t="str">
        <f aca="false">Reconciliation!B8</f>
        <v>April 2025</v>
      </c>
      <c r="N5" s="82" t="n">
        <f aca="false">Reconciliation!G8</f>
        <v>0</v>
      </c>
    </row>
    <row r="6" customFormat="false" ht="15" hidden="false" customHeight="false" outlineLevel="0" collapsed="false">
      <c r="A6" s="81" t="s">
        <v>30</v>
      </c>
      <c r="B6" s="82" t="n">
        <f aca="false">Dashboard!F16</f>
        <v>67000</v>
      </c>
      <c r="C6" s="82" t="n">
        <f aca="false">Dashboard!G16</f>
        <v>96803</v>
      </c>
      <c r="H6" s="83" t="s">
        <v>220</v>
      </c>
      <c r="I6" s="82" t="n">
        <f aca="false">SUMIFS(Transactions!F:F,Transactions!B:B,"&gt;="&amp;DATE(2025,5,1),Transactions!B:B,"&lt;"&amp;DATE(2025,5+1,1),Transactions!E:E,"Inflow")</f>
        <v>213000</v>
      </c>
      <c r="J6" s="82" t="n">
        <f aca="false">SUMIFS(Transactions!F:F,Transactions!B:B,"&gt;="&amp;DATE(2025,5,1),Transactions!B:B,"&lt;"&amp;DATE(2025,5+1,1),Transactions!E:E,"Outflow")</f>
        <v>245411</v>
      </c>
      <c r="K6" s="84" t="n">
        <f aca="false">I6-J6</f>
        <v>-32411</v>
      </c>
      <c r="M6" s="81" t="str">
        <f aca="false">Reconciliation!B9</f>
        <v>May 2025</v>
      </c>
      <c r="N6" s="82" t="n">
        <f aca="false">Reconciliation!G9</f>
        <v>0</v>
      </c>
    </row>
    <row r="7" customFormat="false" ht="15" hidden="false" customHeight="false" outlineLevel="0" collapsed="false">
      <c r="A7" s="81" t="s">
        <v>33</v>
      </c>
      <c r="B7" s="82" t="n">
        <f aca="false">Dashboard!F17</f>
        <v>195000</v>
      </c>
      <c r="C7" s="82" t="n">
        <f aca="false">Dashboard!G17</f>
        <v>132688</v>
      </c>
      <c r="H7" s="83" t="s">
        <v>221</v>
      </c>
      <c r="I7" s="82" t="n">
        <f aca="false">SUMIFS(Transactions!F:F,Transactions!B:B,"&gt;="&amp;DATE(2025,6,1),Transactions!B:B,"&lt;"&amp;DATE(2025,6+1,1),Transactions!E:E,"Inflow")</f>
        <v>310000</v>
      </c>
      <c r="J7" s="82" t="n">
        <f aca="false">SUMIFS(Transactions!F:F,Transactions!B:B,"&gt;="&amp;DATE(2025,6,1),Transactions!B:B,"&lt;"&amp;DATE(2025,6+1,1),Transactions!E:E,"Outflow")</f>
        <v>113723</v>
      </c>
      <c r="K7" s="84" t="n">
        <f aca="false">I7-J7</f>
        <v>196277</v>
      </c>
      <c r="M7" s="81" t="str">
        <f aca="false">Reconciliation!B10</f>
        <v>June 2025</v>
      </c>
      <c r="N7" s="82" t="n">
        <f aca="false">Reconciliation!G10</f>
        <v>0</v>
      </c>
    </row>
    <row r="8" customFormat="false" ht="15" hidden="false" customHeight="false" outlineLevel="0" collapsed="false">
      <c r="A8" s="81" t="s">
        <v>35</v>
      </c>
      <c r="B8" s="82" t="n">
        <f aca="false">Dashboard!F18</f>
        <v>1140000</v>
      </c>
      <c r="C8" s="82" t="n">
        <f aca="false">Dashboard!G18</f>
        <v>899738</v>
      </c>
      <c r="H8" s="83" t="s">
        <v>222</v>
      </c>
      <c r="I8" s="82" t="n">
        <f aca="false">SUMIFS(Transactions!F:F,Transactions!B:B,"&gt;="&amp;DATE(2025,7,1),Transactions!B:B,"&lt;"&amp;DATE(2025,7+1,1),Transactions!E:E,"Inflow")</f>
        <v>0</v>
      </c>
      <c r="J8" s="82" t="n">
        <f aca="false">SUMIFS(Transactions!F:F,Transactions!B:B,"&gt;="&amp;DATE(2025,7,1),Transactions!B:B,"&lt;"&amp;DATE(2025,7+1,1),Transactions!E:E,"Outflow")</f>
        <v>109065</v>
      </c>
      <c r="K8" s="84" t="n">
        <f aca="false">I8-J8</f>
        <v>-109065</v>
      </c>
      <c r="M8" s="81" t="str">
        <f aca="false">Reconciliation!B11</f>
        <v>July 2025</v>
      </c>
      <c r="N8" s="82" t="n">
        <f aca="false">Reconciliation!G11</f>
        <v>0</v>
      </c>
    </row>
    <row r="9" customFormat="false" ht="15" hidden="false" customHeight="false" outlineLevel="0" collapsed="false">
      <c r="A9" s="81" t="s">
        <v>37</v>
      </c>
      <c r="B9" s="82" t="n">
        <f aca="false">Dashboard!F19</f>
        <v>555000</v>
      </c>
      <c r="C9" s="82" t="n">
        <f aca="false">Dashboard!G19</f>
        <v>328132</v>
      </c>
      <c r="H9" s="83" t="s">
        <v>223</v>
      </c>
      <c r="I9" s="82" t="n">
        <f aca="false">SUMIFS(Transactions!F:F,Transactions!B:B,"&gt;="&amp;DATE(2025,8,1),Transactions!B:B,"&lt;"&amp;DATE(2025,8+1,1),Transactions!E:E,"Inflow")</f>
        <v>703000</v>
      </c>
      <c r="J9" s="82" t="n">
        <f aca="false">SUMIFS(Transactions!F:F,Transactions!B:B,"&gt;="&amp;DATE(2025,8,1),Transactions!B:B,"&lt;"&amp;DATE(2025,8+1,1),Transactions!E:E,"Outflow")</f>
        <v>357830</v>
      </c>
      <c r="K9" s="84" t="n">
        <f aca="false">I9-J9</f>
        <v>345170</v>
      </c>
      <c r="M9" s="81" t="str">
        <f aca="false">Reconciliation!B12</f>
        <v>August 2025</v>
      </c>
      <c r="N9" s="82" t="n">
        <f aca="false">Reconciliation!G12</f>
        <v>0</v>
      </c>
    </row>
    <row r="10" customFormat="false" ht="15" hidden="false" customHeight="false" outlineLevel="0" collapsed="false">
      <c r="H10" s="83" t="s">
        <v>224</v>
      </c>
      <c r="I10" s="82" t="n">
        <f aca="false">SUMIFS(Transactions!F:F,Transactions!B:B,"&gt;="&amp;DATE(2025,9,1),Transactions!B:B,"&lt;"&amp;DATE(2025,9+1,1),Transactions!E:E,"Inflow")</f>
        <v>395000</v>
      </c>
      <c r="J10" s="82" t="n">
        <f aca="false">SUMIFS(Transactions!F:F,Transactions!B:B,"&gt;="&amp;DATE(2025,9,1),Transactions!B:B,"&lt;"&amp;DATE(2025,9+1,1),Transactions!E:E,"Outflow")</f>
        <v>395413</v>
      </c>
      <c r="K10" s="84" t="n">
        <f aca="false">I10-J10</f>
        <v>-413</v>
      </c>
      <c r="M10" s="81" t="str">
        <f aca="false">Reconciliation!B13</f>
        <v>September 2025</v>
      </c>
      <c r="N10" s="82" t="n">
        <f aca="false">Reconciliation!G13</f>
        <v>0</v>
      </c>
    </row>
    <row r="11" customFormat="false" ht="15" hidden="false" customHeight="false" outlineLevel="0" collapsed="false">
      <c r="H11" s="83" t="s">
        <v>225</v>
      </c>
      <c r="I11" s="82" t="n">
        <f aca="false">SUMIFS(Transactions!F:F,Transactions!B:B,"&gt;="&amp;DATE(2025,10,1),Transactions!B:B,"&lt;"&amp;DATE(2025,10+1,1),Transactions!E:E,"Inflow")</f>
        <v>385000</v>
      </c>
      <c r="J11" s="82" t="n">
        <f aca="false">SUMIFS(Transactions!F:F,Transactions!B:B,"&gt;="&amp;DATE(2025,10,1),Transactions!B:B,"&lt;"&amp;DATE(2025,10+1,1),Transactions!E:E,"Outflow")</f>
        <v>86265</v>
      </c>
      <c r="K11" s="84" t="n">
        <f aca="false">I11-J11</f>
        <v>298735</v>
      </c>
      <c r="M11" s="81" t="str">
        <f aca="false">Reconciliation!B14</f>
        <v>October 2025</v>
      </c>
      <c r="N11" s="82" t="n">
        <f aca="false">Reconciliation!G14</f>
        <v>0</v>
      </c>
    </row>
    <row r="12" customFormat="false" ht="15" hidden="false" customHeight="false" outlineLevel="0" collapsed="false">
      <c r="H12" s="83" t="s">
        <v>226</v>
      </c>
      <c r="I12" s="82" t="n">
        <f aca="false">SUMIFS(Transactions!F:F,Transactions!B:B,"&gt;="&amp;DATE(2025,11,1),Transactions!B:B,"&lt;"&amp;DATE(2025,11+1,1),Transactions!E:E,"Inflow")</f>
        <v>0</v>
      </c>
      <c r="J12" s="82" t="n">
        <f aca="false">SUMIFS(Transactions!F:F,Transactions!B:B,"&gt;="&amp;DATE(2025,11,1),Transactions!B:B,"&lt;"&amp;DATE(2025,11+1,1),Transactions!E:E,"Outflow")</f>
        <v>0</v>
      </c>
      <c r="K12" s="84" t="n">
        <f aca="false">I12-J12</f>
        <v>0</v>
      </c>
      <c r="M12" s="81" t="str">
        <f aca="false">Reconciliation!B15</f>
        <v>November 2025</v>
      </c>
      <c r="N12" s="82" t="n">
        <f aca="false">Reconciliation!G15</f>
        <v>0</v>
      </c>
    </row>
    <row r="13" customFormat="false" ht="15" hidden="false" customHeight="false" outlineLevel="0" collapsed="false">
      <c r="H13" s="83" t="s">
        <v>227</v>
      </c>
      <c r="I13" s="82" t="n">
        <f aca="false">SUMIFS(Transactions!F:F,Transactions!B:B,"&gt;="&amp;DATE(2025,12,1),Transactions!B:B,"&lt;"&amp;DATE(2025,12+1,1),Transactions!E:E,"Inflow")</f>
        <v>0</v>
      </c>
      <c r="J13" s="82" t="n">
        <f aca="false">SUMIFS(Transactions!F:F,Transactions!B:B,"&gt;="&amp;DATE(2025,12,1),Transactions!B:B,"&lt;"&amp;DATE(2025,12+1,1),Transactions!E:E,"Outflow")</f>
        <v>0</v>
      </c>
      <c r="K13" s="84" t="n">
        <f aca="false">I13-J13</f>
        <v>0</v>
      </c>
      <c r="M13" s="81" t="str">
        <f aca="false">Reconciliation!B16</f>
        <v>December 2025</v>
      </c>
      <c r="N13" s="82" t="n">
        <f aca="false">Reconciliation!G16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P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0"/>
  </cols>
  <sheetData>
    <row r="1" customFormat="false" ht="12" hidden="false" customHeight="true" outlineLevel="0" collapsed="false"/>
    <row r="2" customFormat="false" ht="36" hidden="false" customHeight="true" outlineLevel="0" collapsed="false">
      <c r="B2" s="85" t="s">
        <v>228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</row>
    <row r="3" customFormat="false" ht="21.75" hidden="false" customHeight="true" outlineLevel="0" collapsed="false">
      <c r="B3" s="73" t="s">
        <v>229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5" customFormat="false" ht="30" hidden="false" customHeight="true" outlineLevel="0" collapsed="false">
      <c r="B5" s="76" t="s">
        <v>230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</row>
    <row r="27" customFormat="false" ht="30" hidden="false" customHeight="true" outlineLevel="0" collapsed="false">
      <c r="B27" s="76" t="s">
        <v>231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</row>
    <row r="49" customFormat="false" ht="30" hidden="false" customHeight="true" outlineLevel="0" collapsed="false">
      <c r="B49" s="76" t="s">
        <v>232</v>
      </c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</row>
    <row r="71" customFormat="false" ht="30" hidden="false" customHeight="true" outlineLevel="0" collapsed="false">
      <c r="B71" s="76" t="s">
        <v>233</v>
      </c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</row>
    <row r="72" customFormat="false" ht="7.5" hidden="false" customHeight="true" outlineLevel="0" collapsed="false"/>
    <row r="73" customFormat="false" ht="21.75" hidden="false" customHeight="true" outlineLevel="0" collapsed="false">
      <c r="B73" s="86" t="s">
        <v>234</v>
      </c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 customFormat="false" ht="21.75" hidden="false" customHeight="true" outlineLevel="0" collapsed="false">
      <c r="B74" s="87" t="s">
        <v>235</v>
      </c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</row>
    <row r="75" customFormat="false" ht="21.75" hidden="false" customHeight="true" outlineLevel="0" collapsed="false">
      <c r="B75" s="86" t="s">
        <v>236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 customFormat="false" ht="21.75" hidden="false" customHeight="true" outlineLevel="0" collapsed="false">
      <c r="B76" s="87" t="s">
        <v>237</v>
      </c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</row>
    <row r="77" customFormat="false" ht="21.75" hidden="false" customHeight="true" outlineLevel="0" collapsed="false">
      <c r="B77" s="86" t="s">
        <v>238</v>
      </c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80" customFormat="false" ht="18" hidden="false" customHeight="true" outlineLevel="0" collapsed="false">
      <c r="B80" s="40" t="s">
        <v>45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</row>
  </sheetData>
  <mergeCells count="12">
    <mergeCell ref="B2:P2"/>
    <mergeCell ref="B3:P3"/>
    <mergeCell ref="B5:P5"/>
    <mergeCell ref="B27:P27"/>
    <mergeCell ref="B49:P49"/>
    <mergeCell ref="B71:P71"/>
    <mergeCell ref="B73:P73"/>
    <mergeCell ref="B74:P74"/>
    <mergeCell ref="B75:P75"/>
    <mergeCell ref="B76:P76"/>
    <mergeCell ref="B77:P77"/>
    <mergeCell ref="B80:P80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6" min="6" style="0" width="2"/>
  </cols>
  <sheetData>
    <row r="1" customFormat="false" ht="36" hidden="false" customHeight="true" outlineLevel="0" collapsed="false">
      <c r="B1" s="88" t="s">
        <v>239</v>
      </c>
      <c r="C1" s="88"/>
      <c r="D1" s="88"/>
      <c r="E1" s="88"/>
    </row>
    <row r="2" customFormat="false" ht="25.5" hidden="false" customHeight="true" outlineLevel="0" collapsed="false">
      <c r="B2" s="89" t="s">
        <v>240</v>
      </c>
      <c r="C2" s="89"/>
      <c r="D2" s="89"/>
      <c r="E2" s="89"/>
    </row>
    <row r="3" customFormat="false" ht="13.5" hidden="false" customHeight="true" outlineLevel="0" collapsed="false"/>
    <row r="4" customFormat="false" ht="27.75" hidden="false" customHeight="true" outlineLevel="0" collapsed="false">
      <c r="B4" s="44" t="s">
        <v>241</v>
      </c>
      <c r="C4" s="44" t="s">
        <v>242</v>
      </c>
      <c r="D4" s="44" t="s">
        <v>243</v>
      </c>
      <c r="E4" s="44" t="s">
        <v>244</v>
      </c>
    </row>
    <row r="5" customFormat="false" ht="45.75" hidden="false" customHeight="true" outlineLevel="0" collapsed="false">
      <c r="B5" s="90" t="s">
        <v>245</v>
      </c>
      <c r="C5" s="91" t="s">
        <v>246</v>
      </c>
      <c r="D5" s="92" t="s">
        <v>247</v>
      </c>
      <c r="E5" s="93" t="s">
        <v>248</v>
      </c>
    </row>
    <row r="6" customFormat="false" ht="45.75" hidden="false" customHeight="true" outlineLevel="0" collapsed="false">
      <c r="B6" s="94" t="s">
        <v>249</v>
      </c>
      <c r="C6" s="95" t="s">
        <v>250</v>
      </c>
      <c r="D6" s="96" t="s">
        <v>251</v>
      </c>
      <c r="E6" s="97" t="s">
        <v>252</v>
      </c>
    </row>
    <row r="7" customFormat="false" ht="45.75" hidden="false" customHeight="true" outlineLevel="0" collapsed="false">
      <c r="B7" s="90" t="s">
        <v>253</v>
      </c>
      <c r="C7" s="91" t="s">
        <v>254</v>
      </c>
      <c r="D7" s="92" t="s">
        <v>255</v>
      </c>
      <c r="E7" s="93" t="s">
        <v>256</v>
      </c>
    </row>
    <row r="8" customFormat="false" ht="45.75" hidden="false" customHeight="true" outlineLevel="0" collapsed="false">
      <c r="B8" s="94" t="s">
        <v>257</v>
      </c>
      <c r="C8" s="95" t="s">
        <v>258</v>
      </c>
      <c r="D8" s="96" t="s">
        <v>259</v>
      </c>
      <c r="E8" s="97" t="s">
        <v>260</v>
      </c>
    </row>
    <row r="9" customFormat="false" ht="45.75" hidden="false" customHeight="true" outlineLevel="0" collapsed="false">
      <c r="B9" s="90" t="s">
        <v>261</v>
      </c>
      <c r="C9" s="91" t="s">
        <v>262</v>
      </c>
      <c r="D9" s="92" t="s">
        <v>263</v>
      </c>
      <c r="E9" s="93" t="s">
        <v>264</v>
      </c>
    </row>
    <row r="10" customFormat="false" ht="45.75" hidden="false" customHeight="true" outlineLevel="0" collapsed="false">
      <c r="B10" s="94" t="s">
        <v>265</v>
      </c>
      <c r="C10" s="95" t="s">
        <v>266</v>
      </c>
      <c r="D10" s="96" t="s">
        <v>267</v>
      </c>
      <c r="E10" s="97" t="s">
        <v>268</v>
      </c>
    </row>
    <row r="11" customFormat="false" ht="45.75" hidden="false" customHeight="true" outlineLevel="0" collapsed="false">
      <c r="B11" s="90" t="s">
        <v>269</v>
      </c>
      <c r="C11" s="91" t="s">
        <v>270</v>
      </c>
      <c r="D11" s="92" t="s">
        <v>271</v>
      </c>
      <c r="E11" s="93" t="s">
        <v>272</v>
      </c>
    </row>
    <row r="12" customFormat="false" ht="45.75" hidden="false" customHeight="true" outlineLevel="0" collapsed="false">
      <c r="B12" s="94" t="s">
        <v>273</v>
      </c>
      <c r="C12" s="95" t="s">
        <v>274</v>
      </c>
      <c r="D12" s="96" t="s">
        <v>275</v>
      </c>
      <c r="E12" s="97" t="s">
        <v>276</v>
      </c>
    </row>
    <row r="13" customFormat="false" ht="45.75" hidden="false" customHeight="true" outlineLevel="0" collapsed="false">
      <c r="B13" s="90" t="s">
        <v>277</v>
      </c>
      <c r="C13" s="91" t="s">
        <v>278</v>
      </c>
      <c r="D13" s="92" t="s">
        <v>279</v>
      </c>
      <c r="E13" s="93" t="s">
        <v>280</v>
      </c>
    </row>
    <row r="14" customFormat="false" ht="45.75" hidden="false" customHeight="true" outlineLevel="0" collapsed="false">
      <c r="B14" s="94" t="s">
        <v>281</v>
      </c>
      <c r="C14" s="95" t="s">
        <v>282</v>
      </c>
      <c r="D14" s="96" t="s">
        <v>283</v>
      </c>
      <c r="E14" s="97" t="s">
        <v>284</v>
      </c>
    </row>
    <row r="15" customFormat="false" ht="45.75" hidden="false" customHeight="true" outlineLevel="0" collapsed="false">
      <c r="B15" s="90" t="s">
        <v>285</v>
      </c>
      <c r="C15" s="91" t="s">
        <v>286</v>
      </c>
      <c r="D15" s="92" t="s">
        <v>287</v>
      </c>
      <c r="E15" s="93" t="s">
        <v>288</v>
      </c>
    </row>
    <row r="16" customFormat="false" ht="45.75" hidden="false" customHeight="true" outlineLevel="0" collapsed="false">
      <c r="B16" s="94" t="s">
        <v>289</v>
      </c>
      <c r="C16" s="95" t="s">
        <v>290</v>
      </c>
      <c r="D16" s="96" t="s">
        <v>291</v>
      </c>
      <c r="E16" s="97" t="s">
        <v>292</v>
      </c>
    </row>
    <row r="17" customFormat="false" ht="45.75" hidden="false" customHeight="true" outlineLevel="0" collapsed="false">
      <c r="B17" s="90" t="s">
        <v>293</v>
      </c>
      <c r="C17" s="91" t="s">
        <v>294</v>
      </c>
      <c r="D17" s="92" t="s">
        <v>295</v>
      </c>
      <c r="E17" s="93" t="s">
        <v>296</v>
      </c>
    </row>
    <row r="18" customFormat="false" ht="45.75" hidden="false" customHeight="true" outlineLevel="0" collapsed="false">
      <c r="B18" s="94" t="s">
        <v>297</v>
      </c>
      <c r="C18" s="95" t="s">
        <v>298</v>
      </c>
      <c r="D18" s="96" t="s">
        <v>299</v>
      </c>
      <c r="E18" s="97" t="s">
        <v>300</v>
      </c>
    </row>
    <row r="19" customFormat="false" ht="45.75" hidden="false" customHeight="true" outlineLevel="0" collapsed="false">
      <c r="B19" s="90" t="s">
        <v>301</v>
      </c>
      <c r="C19" s="91" t="s">
        <v>302</v>
      </c>
      <c r="D19" s="92" t="s">
        <v>303</v>
      </c>
      <c r="E19" s="93" t="s">
        <v>304</v>
      </c>
    </row>
    <row r="20" customFormat="false" ht="45.75" hidden="false" customHeight="true" outlineLevel="0" collapsed="false">
      <c r="B20" s="94" t="s">
        <v>305</v>
      </c>
      <c r="C20" s="95" t="s">
        <v>306</v>
      </c>
      <c r="D20" s="96" t="s">
        <v>307</v>
      </c>
      <c r="E20" s="97" t="s">
        <v>308</v>
      </c>
    </row>
    <row r="21" customFormat="false" ht="45.75" hidden="false" customHeight="true" outlineLevel="0" collapsed="false">
      <c r="B21" s="90" t="s">
        <v>309</v>
      </c>
      <c r="C21" s="91" t="s">
        <v>310</v>
      </c>
      <c r="D21" s="92" t="s">
        <v>311</v>
      </c>
      <c r="E21" s="93" t="s">
        <v>312</v>
      </c>
    </row>
    <row r="24" customFormat="false" ht="18" hidden="false" customHeight="true" outlineLevel="0" collapsed="false">
      <c r="B24" s="40" t="s">
        <v>45</v>
      </c>
      <c r="C24" s="40"/>
      <c r="D24" s="40"/>
      <c r="E24" s="40"/>
    </row>
    <row r="25" customFormat="false" ht="15.75" hidden="false" customHeight="true" outlineLevel="0" collapsed="false">
      <c r="B25" s="41" t="s">
        <v>313</v>
      </c>
      <c r="C25" s="41"/>
      <c r="D25" s="41"/>
      <c r="E25" s="41"/>
    </row>
  </sheetData>
  <mergeCells count="4">
    <mergeCell ref="B1:E1"/>
    <mergeCell ref="B2:E2"/>
    <mergeCell ref="B24:E24"/>
    <mergeCell ref="B25:E2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2026-04-19T23:13:20Z</dcterms:created>
  <dc:creator>openpyxl</dc:creator>
  <dc:description/>
  <dc:language>en-US</dc:language>
  <cp:lastModifiedBy/>
  <dcterms:modified xsi:type="dcterms:W3CDTF">2026-04-19T23:18:29Z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