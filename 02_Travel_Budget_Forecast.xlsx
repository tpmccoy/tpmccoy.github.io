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ip Log" sheetId="2" state="visible" r:id="rId4"/>
    <sheet name="Monthly Forecast" sheetId="3" state="visible" r:id="rId5"/>
    <sheet name="_ChartData" sheetId="4" state="hidden" r:id="rId6"/>
    <sheet name="Charts" sheetId="5" state="visible" r:id="rId7"/>
    <sheet name="Features Use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<sst xmlns="http://schemas.openxmlformats.org/spreadsheetml/2006/main" count="639" uniqueCount="241">
  <si>
    <t xml:space="preserve">GOVERNOR'S OFFICE TRAVEL BUDGET</t>
  </si>
  <si>
    <t xml:space="preserve">FY2025 Dashboard  ·  Budget vs. Actual  ·  12-Month Forecast</t>
  </si>
  <si>
    <t xml:space="preserve">ANNUAL TRAVEL BUDGET</t>
  </si>
  <si>
    <t xml:space="preserve">YTD ACTUAL SPEND</t>
  </si>
  <si>
    <t xml:space="preserve">BUDGET REMAINING</t>
  </si>
  <si>
    <t xml:space="preserve">% ITEMS UNDER BUDGET</t>
  </si>
  <si>
    <t xml:space="preserve">Total Authority · FY2025</t>
  </si>
  <si>
    <t xml:space="preserve">All categories</t>
  </si>
  <si>
    <t xml:space="preserve">Unspent authority</t>
  </si>
  <si>
    <t xml:space="preserve">Compliance rate</t>
  </si>
  <si>
    <t xml:space="preserve">BUDGET ALLOCATION BY CATEGORY</t>
  </si>
  <si>
    <t xml:space="preserve">Category</t>
  </si>
  <si>
    <t xml:space="preserve">Budget</t>
  </si>
  <si>
    <t xml:space="preserve">YTD Actual</t>
  </si>
  <si>
    <t xml:space="preserve">Remaining</t>
  </si>
  <si>
    <t xml:space="preserve">Utilization</t>
  </si>
  <si>
    <t xml:space="preserve">Status</t>
  </si>
  <si>
    <t xml:space="preserve">Airfare</t>
  </si>
  <si>
    <t xml:space="preserve">Lodging</t>
  </si>
  <si>
    <t xml:space="preserve">Per Diem / Meals</t>
  </si>
  <si>
    <t xml:space="preserve">Ground Transportation</t>
  </si>
  <si>
    <t xml:space="preserve">Conference Registration</t>
  </si>
  <si>
    <t xml:space="preserve">Miscellaneous / Incidentals</t>
  </si>
  <si>
    <t xml:space="preserve">TOTAL</t>
  </si>
  <si>
    <t xml:space="preserve">PERFORMANCE METRICS</t>
  </si>
  <si>
    <t xml:space="preserve">Trips Completed (YTD)</t>
  </si>
  <si>
    <t xml:space="preserve">Line Items Under Budget</t>
  </si>
  <si>
    <t xml:space="preserve">Line Items Processed</t>
  </si>
  <si>
    <t xml:space="preserve">% Items Under Budget</t>
  </si>
  <si>
    <t xml:space="preserve">Avg. Cost per Line Item</t>
  </si>
  <si>
    <t xml:space="preserve">Total Savings vs Budget</t>
  </si>
  <si>
    <t xml:space="preserve">Illustrative portfolio model  ·  Figures are synthesized to demonstrate workflow and do not represent actual State of Arizona financial records.</t>
  </si>
  <si>
    <t xml:space="preserve">Prepared by Thomas P. McCoy  ·  Senior Accountant &amp; Grant Auditor  ·  Modeled on Governor's Office travel operations</t>
  </si>
  <si>
    <t xml:space="preserve">TRIP LOG  —  Line-item detail for every FY2025 Governor's Office trip</t>
  </si>
  <si>
    <t xml:space="preserve">Date</t>
  </si>
  <si>
    <t xml:space="preserve">Trip ID</t>
  </si>
  <si>
    <t xml:space="preserve">Traveler</t>
  </si>
  <si>
    <t xml:space="preserve">Destination</t>
  </si>
  <si>
    <t xml:space="preserve">Purpose</t>
  </si>
  <si>
    <t xml:space="preserve">Booked Thru</t>
  </si>
  <si>
    <t xml:space="preserve">Actual Cost</t>
  </si>
  <si>
    <t xml:space="preserve">Trip Budget</t>
  </si>
  <si>
    <t xml:space="preserve">Variance</t>
  </si>
  <si>
    <t xml:space="preserve">Month</t>
  </si>
  <si>
    <t xml:space="preserve">Mo.#</t>
  </si>
  <si>
    <t xml:space="preserve">T-2501</t>
  </si>
  <si>
    <t xml:space="preserve">Deputy Chief of Staff</t>
  </si>
  <si>
    <t xml:space="preserve">Washington, DC</t>
  </si>
  <si>
    <t xml:space="preserve">NGA Winter Meeting</t>
  </si>
  <si>
    <t xml:space="preserve">Adtrav</t>
  </si>
  <si>
    <t xml:space="preserve">Jan</t>
  </si>
  <si>
    <t xml:space="preserve">T-2502</t>
  </si>
  <si>
    <t xml:space="preserve">Policy Advisor</t>
  </si>
  <si>
    <t xml:space="preserve">Austin, TX</t>
  </si>
  <si>
    <t xml:space="preserve">State Policy Summit</t>
  </si>
  <si>
    <t xml:space="preserve">Enterprise</t>
  </si>
  <si>
    <t xml:space="preserve">T-2503</t>
  </si>
  <si>
    <t xml:space="preserve">Communications Director</t>
  </si>
  <si>
    <t xml:space="preserve">Denver, CO</t>
  </si>
  <si>
    <t xml:space="preserve">Western States Governors Summit</t>
  </si>
  <si>
    <t xml:space="preserve">Feb</t>
  </si>
  <si>
    <t xml:space="preserve">T-2504</t>
  </si>
  <si>
    <t xml:space="preserve">Chief of Staff</t>
  </si>
  <si>
    <t xml:space="preserve">Federal Funding Strategy</t>
  </si>
  <si>
    <t xml:space="preserve">T-2505</t>
  </si>
  <si>
    <t xml:space="preserve">San Francisco, CA</t>
  </si>
  <si>
    <t xml:space="preserve">Tech Policy Roundtable</t>
  </si>
  <si>
    <t xml:space="preserve">Mar</t>
  </si>
  <si>
    <t xml:space="preserve">T-2506</t>
  </si>
  <si>
    <t xml:space="preserve">Nashville, TN</t>
  </si>
  <si>
    <t xml:space="preserve">NGA Spring Meeting</t>
  </si>
  <si>
    <t xml:space="preserve">T-2507</t>
  </si>
  <si>
    <t xml:space="preserve">Governor</t>
  </si>
  <si>
    <t xml:space="preserve">Los Angeles, CA</t>
  </si>
  <si>
    <t xml:space="preserve">Economic Development Summit</t>
  </si>
  <si>
    <t xml:space="preserve">Apr</t>
  </si>
  <si>
    <t xml:space="preserve">T-2508</t>
  </si>
  <si>
    <t xml:space="preserve">Salt Lake City, UT</t>
  </si>
  <si>
    <t xml:space="preserve">Western Media Conference</t>
  </si>
  <si>
    <t xml:space="preserve">T-2509</t>
  </si>
  <si>
    <t xml:space="preserve">Chicago, IL</t>
  </si>
  <si>
    <t xml:space="preserve">Policy Research Symposium</t>
  </si>
  <si>
    <t xml:space="preserve">May</t>
  </si>
  <si>
    <t xml:space="preserve">T-2510</t>
  </si>
  <si>
    <t xml:space="preserve">New York, NY</t>
  </si>
  <si>
    <t xml:space="preserve">NE Corridor Gov. Meeting</t>
  </si>
  <si>
    <t xml:space="preserve">T-2511</t>
  </si>
  <si>
    <t xml:space="preserve">Honolulu, HI</t>
  </si>
  <si>
    <t xml:space="preserve">WGA Annual Meeting</t>
  </si>
  <si>
    <t xml:space="preserve">Jun</t>
  </si>
  <si>
    <t xml:space="preserve">T-2512</t>
  </si>
  <si>
    <t xml:space="preserve">Atlanta, GA</t>
  </si>
  <si>
    <t xml:space="preserve">Southeast Policy Forum</t>
  </si>
  <si>
    <t xml:space="preserve">T-2513</t>
  </si>
  <si>
    <t xml:space="preserve">Boston, MA</t>
  </si>
  <si>
    <t xml:space="preserve">Public Affairs Conference</t>
  </si>
  <si>
    <t xml:space="preserve">Jul</t>
  </si>
  <si>
    <t xml:space="preserve">T-2514</t>
  </si>
  <si>
    <t xml:space="preserve">Minneapolis, MN</t>
  </si>
  <si>
    <t xml:space="preserve">Infrastructure Policy Workshop</t>
  </si>
  <si>
    <t xml:space="preserve">T-2515</t>
  </si>
  <si>
    <t xml:space="preserve">Federal Coordination Meeting</t>
  </si>
  <si>
    <t xml:space="preserve">Aug</t>
  </si>
  <si>
    <t xml:space="preserve">T-2516</t>
  </si>
  <si>
    <t xml:space="preserve">Portland, OR</t>
  </si>
  <si>
    <t xml:space="preserve">Regional Economic Summit</t>
  </si>
  <si>
    <t xml:space="preserve">T-2517</t>
  </si>
  <si>
    <t xml:space="preserve">Las Vegas, NV</t>
  </si>
  <si>
    <t xml:space="preserve">Western Energy Conference</t>
  </si>
  <si>
    <t xml:space="preserve">Sep</t>
  </si>
  <si>
    <t xml:space="preserve">T-2518</t>
  </si>
  <si>
    <t xml:space="preserve">Miami, FL</t>
  </si>
  <si>
    <t xml:space="preserve">Public Sector Comms Forum</t>
  </si>
  <si>
    <t xml:space="preserve">T-2519</t>
  </si>
  <si>
    <t xml:space="preserve">End-of-Year Federal Meetings</t>
  </si>
  <si>
    <t xml:space="preserve">Oct</t>
  </si>
  <si>
    <t xml:space="preserve">T-2520</t>
  </si>
  <si>
    <t xml:space="preserve">Dallas, TX</t>
  </si>
  <si>
    <t xml:space="preserve">Southern States Convening</t>
  </si>
  <si>
    <t xml:space="preserve">T-2521</t>
  </si>
  <si>
    <t xml:space="preserve">Seattle, WA</t>
  </si>
  <si>
    <t xml:space="preserve">Pacific NW Policy Summit</t>
  </si>
  <si>
    <t xml:space="preserve">Nov</t>
  </si>
  <si>
    <t xml:space="preserve">T-2522</t>
  </si>
  <si>
    <t xml:space="preserve">Charlotte, NC</t>
  </si>
  <si>
    <t xml:space="preserve">Digital Gov Conference</t>
  </si>
  <si>
    <t xml:space="preserve">T-2523</t>
  </si>
  <si>
    <t xml:space="preserve">Year-End Policy Review</t>
  </si>
  <si>
    <t xml:space="preserve">Dec</t>
  </si>
  <si>
    <t xml:space="preserve">TOTAL (58 line items)</t>
  </si>
  <si>
    <t xml:space="preserve">12-MONTH FORECAST  —  Budget pacing and cumulative tracking</t>
  </si>
  <si>
    <t xml:space="preserve">Even-distribution budget: $185K / 12 = $15,417 per month.  Actuals pull dynamically via SUMIFS on month number.</t>
  </si>
  <si>
    <t xml:space="preserve">Monthly Budget</t>
  </si>
  <si>
    <t xml:space="preserve">Actual Spend</t>
  </si>
  <si>
    <t xml:space="preserve">Cumul. Budget</t>
  </si>
  <si>
    <t xml:space="preserve">Cumul. Actual</t>
  </si>
  <si>
    <t xml:space="preserve">Cumul. Variance</t>
  </si>
  <si>
    <t xml:space="preserve">FY TOTAL</t>
  </si>
  <si>
    <t xml:space="preserve">FORECAST METHODOLOGY</t>
  </si>
  <si>
    <t xml:space="preserve">  1. Monthly budget allocated evenly across 12 months ($185K ÷ 12 = $15,417/mo).</t>
  </si>
  <si>
    <t xml:space="preserve">  2. Actual spend pulled from Trip Log via SUMIFS on the Mo.# column — automatic monthly roll-up.</t>
  </si>
  <si>
    <t xml:space="preserve">  3. Cumulative Budget and Actual track running totals for YTD variance analysis.</t>
  </si>
  <si>
    <t xml:space="preserve">  4. Status flags any month where cumulative actual exceeds cumulative budget (Over Pace).</t>
  </si>
  <si>
    <t xml:space="preserve">  5. Data bars on Variance column show relative monthly savings at a glance.</t>
  </si>
  <si>
    <t xml:space="preserve">YTD Budget</t>
  </si>
  <si>
    <t xml:space="preserve">Total Cost</t>
  </si>
  <si>
    <t xml:space="preserve">Total Spend</t>
  </si>
  <si>
    <t xml:space="preserve">VISUAL ANALYSIS  —  Governor's Office Travel Budget FY2025</t>
  </si>
  <si>
    <t xml:space="preserve">Six views using a WCAG-AA colorblind-safe palette (blue/orange primary pairing)</t>
  </si>
  <si>
    <t xml:space="preserve">§ 01  ·  BUDGET vs. ACTUAL PERFORMANCE</t>
  </si>
  <si>
    <t xml:space="preserve">§ 02  ·  MONTHLY SPENDING &amp; YEAR-TO-DATE TRACKING</t>
  </si>
  <si>
    <t xml:space="preserve">§ 03  ·  TRIP-LEVEL DETAIL ANALYSIS</t>
  </si>
  <si>
    <t xml:space="preserve">§ 04  ·  KEY INSIGHTS</t>
  </si>
  <si>
    <t xml:space="preserve">  ▸  95%+ of trip line items landed under their individual budgets — meeting FY2025 travel-policy compliance targets.</t>
  </si>
  <si>
    <t xml:space="preserve">  ▸  Airfare and lodging represent roughly 60–65% of total travel spend — consistent with federal travel benchmarks.</t>
  </si>
  <si>
    <t xml:space="preserve">  ▸  Cumulative YTD actual spend is tracking below the linear budget authority, indicating a projected year-end surplus.</t>
  </si>
  <si>
    <t xml:space="preserve">  ▸  Top-cost trips (highlighted in orange) concentrate in Federal Funding Strategy and Policy Summit categories — candidates for next-year benchmark refinement.</t>
  </si>
  <si>
    <t xml:space="preserve">  ▸  All charts use a colorblind-safe palette (blue/orange primary pairing) meeting WCAG-AA contrast standards for accessibility.</t>
  </si>
  <si>
    <t xml:space="preserve">FEATURES &amp; METHODOLOGY</t>
  </si>
  <si>
    <t xml:space="preserve">A walkthrough of the Excel features, formulas, and design choices powering this workbook.</t>
  </si>
  <si>
    <t xml:space="preserve">Sheet / Area</t>
  </si>
  <si>
    <t xml:space="preserve">Feature Used</t>
  </si>
  <si>
    <t xml:space="preserve">What It Does  &amp;  Why It Matters</t>
  </si>
  <si>
    <t xml:space="preserve">Business Impact</t>
  </si>
  <si>
    <t xml:space="preserve">Dashboard — KPI Cards</t>
  </si>
  <si>
    <t xml:space="preserve">Formula-Driven KPIs</t>
  </si>
  <si>
    <t xml:space="preserve">Every KPI card (Annual Budget, YTD Actual, Remaining, % Under Budget) pulls from table formulas — not hardcoded values. Change a trip in the log and every card updates instantly.</t>
  </si>
  <si>
    <t xml:space="preserve">Eliminates manual refresh · audit-ready accuracy</t>
  </si>
  <si>
    <t xml:space="preserve">Dashboard — Category Table</t>
  </si>
  <si>
    <t xml:space="preserve">SUMIFS Aggregation</t>
  </si>
  <si>
    <t xml:space="preserve">YTD Actual column uses SUMIFS with category criteria — pulls dynamically from the Trip Log by matching the Category column.</t>
  </si>
  <si>
    <t xml:space="preserve">Real-time category roll-ups</t>
  </si>
  <si>
    <t xml:space="preserve">Dashboard — Utilization %</t>
  </si>
  <si>
    <t xml:space="preserve">Color Scale Conditional Formatting</t>
  </si>
  <si>
    <t xml:space="preserve">3-color gradient (green → amber → red) applied to Utilization column — instantly shows which categories are over/under spend.</t>
  </si>
  <si>
    <t xml:space="preserve">Data at a glance · exception ID</t>
  </si>
  <si>
    <t xml:space="preserve">Dashboard — Status Column</t>
  </si>
  <si>
    <t xml:space="preserve">Nested IF Logic + CF Rules</t>
  </si>
  <si>
    <t xml:space="preserve">Status = IF(util&gt;100%, "Over Budget", IF(util&gt;85%, "Review", IF(util&gt;60%, "Monitor", "On Track"))). Each status triggers a distinct colorblind-safe cell fill.</t>
  </si>
  <si>
    <t xml:space="preserve">Automated risk tiering · consistent thresholds</t>
  </si>
  <si>
    <t xml:space="preserve">Dashboard — Metrics</t>
  </si>
  <si>
    <t xml:space="preserve">COUNTIF Compliance Rate</t>
  </si>
  <si>
    <t xml:space="preserve">% Items Under Budget computed with COUNTIF on the Trip Log status column ÷ total count — quantifies policy compliance without manual count.</t>
  </si>
  <si>
    <t xml:space="preserve">Objective compliance metric</t>
  </si>
  <si>
    <t xml:space="preserve">Trip Log — Status</t>
  </si>
  <si>
    <t xml:space="preserve">IF with Direction Logic</t>
  </si>
  <si>
    <t xml:space="preserve">Status flags Under/At/Over Budget based on variance sign. Triple-state logic catches exact-budget items that simple thresholds miss.</t>
  </si>
  <si>
    <t xml:space="preserve">Catches edge cases</t>
  </si>
  <si>
    <t xml:space="preserve">Trip Log — Month Extract</t>
  </si>
  <si>
    <t xml:space="preserve">Date Functions</t>
  </si>
  <si>
    <t xml:space="preserve">Month name and month number extracted from Date column using TEXT/MONTH — powers the Monthly Forecast SUMIFS lookups.</t>
  </si>
  <si>
    <t xml:space="preserve">Automatic time-series aggregation</t>
  </si>
  <si>
    <t xml:space="preserve">Monthly Forecast</t>
  </si>
  <si>
    <t xml:space="preserve">SUMIFS by Month Number</t>
  </si>
  <si>
    <t xml:space="preserve">Actual Spend column uses SUMIFS filtering by Mo.# column from Trip Log — rolls up any number of trips into clean monthly totals.</t>
  </si>
  <si>
    <t xml:space="preserve">Scales with data volume</t>
  </si>
  <si>
    <t xml:space="preserve">Monthly Forecast — Cumulative</t>
  </si>
  <si>
    <t xml:space="preserve">Running Total Formula</t>
  </si>
  <si>
    <t xml:space="preserve">Cumulative Budget and Actual columns use prior-row + current-row pattern ($F5 = $F4 + $C5) to compute running totals without helper columns.</t>
  </si>
  <si>
    <t xml:space="preserve">Clean YTD variance analysis</t>
  </si>
  <si>
    <t xml:space="preserve">Monthly Forecast — Status</t>
  </si>
  <si>
    <t xml:space="preserve">Pace-Based IF Logic</t>
  </si>
  <si>
    <t xml:space="preserve">Status flags months where cumulative actual exceeds cumulative budget authority — identifies pace issues before year-end.</t>
  </si>
  <si>
    <t xml:space="preserve">Early warning · proactive management</t>
  </si>
  <si>
    <t xml:space="preserve">Monthly Forecast — Variance</t>
  </si>
  <si>
    <t xml:space="preserve">Data Bar Conditional Formatting</t>
  </si>
  <si>
    <t xml:space="preserve">Data bars on Variance column visualize relative monthly savings — instant comparison across 12 months.</t>
  </si>
  <si>
    <t xml:space="preserve">Visual scan faster than reading numbers</t>
  </si>
  <si>
    <t xml:space="preserve">Charts Sheet</t>
  </si>
  <si>
    <t xml:space="preserve">Colorblind-Safe Palette</t>
  </si>
  <si>
    <t xml:space="preserve">All 6 charts use the Paul Tol / IBM Design qualitative palette — blue/orange primary pairing is distinguishable under deuteranopia, protanopia, and tritanopia.</t>
  </si>
  <si>
    <t xml:space="preserve">WCAG-AA accessibility · reaches all reviewers</t>
  </si>
  <si>
    <t xml:space="preserve">Charts — Trip Ranking</t>
  </si>
  <si>
    <t xml:space="preserve">Conditional Per-Bar Coloring</t>
  </si>
  <si>
    <t xml:space="preserve">Trip Cost Ranking bars colored by cost tier — orange for top spenders (&gt;75% of max), amber for mid-tier, blue for baseline.</t>
  </si>
  <si>
    <t xml:space="preserve">Outliers stand out visually</t>
  </si>
  <si>
    <t xml:space="preserve">Charts — Budget vs Actual</t>
  </si>
  <si>
    <t xml:space="preserve">Dashed Reference Line</t>
  </si>
  <si>
    <t xml:space="preserve">Monthly Budget line rendered as dashed blue (reference) while Actual is solid orange with markers — signals which line is the "target."</t>
  </si>
  <si>
    <t xml:space="preserve">Story-telling chart design</t>
  </si>
  <si>
    <t xml:space="preserve">Charts — Doughnut Mix</t>
  </si>
  <si>
    <t xml:space="preserve">Categorical Color Palette</t>
  </si>
  <si>
    <t xml:space="preserve">Category spend mix uses 6 colorblind-safe colors (blue, orange, cyan, green, magenta, teal) — distinguishable without legend.</t>
  </si>
  <si>
    <t xml:space="preserve">Print-safe · accessible</t>
  </si>
  <si>
    <t xml:space="preserve">Helper Sheet</t>
  </si>
  <si>
    <t xml:space="preserve">Hidden _ChartData Sheet</t>
  </si>
  <si>
    <t xml:space="preserve">All chart source data lives in a hidden _ChartData sheet that pulls from Dashboard/Monthly Forecast via cell references. Keeps Charts sheet clean while data updates automatically.</t>
  </si>
  <si>
    <t xml:space="preserve">Clean separation of data and visualization</t>
  </si>
  <si>
    <t xml:space="preserve">Workbook</t>
  </si>
  <si>
    <t xml:space="preserve">Named Sheet Structure</t>
  </si>
  <si>
    <t xml:space="preserve">Five visible sheets with clear separation of concerns: Dashboard → Trip Log → Monthly Forecast → _ChartData (hidden) → Charts → Features Used.</t>
  </si>
  <si>
    <t xml:space="preserve">Auditor-friendly navigation</t>
  </si>
  <si>
    <t xml:space="preserve">Styling</t>
  </si>
  <si>
    <t xml:space="preserve">Editorial Design System</t>
  </si>
  <si>
    <t xml:space="preserve">Custom color tokens (ink, paper, primary audit-blue, signal greens/ambers/reds) applied consistently across all sheets. Matches Fund Management workbook brand system.</t>
  </si>
  <si>
    <t xml:space="preserve">Portfolio polish · professional presentation</t>
  </si>
  <si>
    <t xml:space="preserve">Formulas</t>
  </si>
  <si>
    <t xml:space="preserve">IFERROR Wrappers</t>
  </si>
  <si>
    <t xml:space="preserve">Division formulas (Utilization, % compliance) wrapped in IFERROR to gracefully handle zero-denominator scenarios without breaking the dashboard.</t>
  </si>
  <si>
    <t xml:space="preserve">Graceful error handling · robust to edge cases</t>
  </si>
  <si>
    <t xml:space="preserve">Prepared by Thomas P. McCoy  ·  Senior Accountant &amp; Grant Auditor  ·  The Ledger, Vol. I — Edition 02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</si>
</sst>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—"/>
    <numFmt numFmtId="166" formatCode="0.0%"/>
    <numFmt numFmtId="167" formatCode="\$#,##0"/>
    <numFmt numFmtId="168" formatCode="#,##0"/>
    <numFmt numFmtId="169" formatCode="mm/dd/yyyy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1A1A17"/>
      <name val="Calibri"/>
      <family val="0"/>
      <charset val="1"/>
    </font>
    <font>
      <i val="true"/>
      <sz val="12"/>
      <color rgb="FF6B665E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1A1A17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b val="true"/>
      <sz val="22"/>
      <color rgb="FF1A1A17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i val="true"/>
      <sz val="9"/>
      <color rgb="FF1A1A17"/>
      <name val="Calibri"/>
      <family val="0"/>
      <charset val="1"/>
    </font>
    <font>
      <b val="true"/>
      <sz val="14"/>
      <color rgb="FF1A1A17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A1A17"/>
      <name val="Calibri"/>
      <family val="0"/>
      <charset val="1"/>
    </font>
    <font>
      <sz val="10"/>
      <color rgb="FF1A1A17"/>
      <name val="Calibri"/>
      <family val="0"/>
      <charset val="1"/>
    </font>
    <font>
      <b val="true"/>
      <sz val="10"/>
      <color rgb="FF11773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A1A17"/>
      <name val="Calibri"/>
      <family val="0"/>
      <charset val="1"/>
    </font>
    <font>
      <b val="true"/>
      <i val="true"/>
      <sz val="9"/>
      <color rgb="FF0A5FAD"/>
      <name val="Calibri"/>
      <family val="0"/>
      <charset val="1"/>
    </font>
    <font>
      <i val="true"/>
      <sz val="9"/>
      <color rgb="FF8A857D"/>
      <name val="Calibri"/>
      <family val="0"/>
      <charset val="1"/>
    </font>
    <font>
      <b val="true"/>
      <sz val="16"/>
      <color rgb="FF1A1A17"/>
      <name val="Calibri"/>
      <family val="0"/>
      <charset val="1"/>
    </font>
    <font>
      <sz val="9"/>
      <color rgb="FF1A1A17"/>
      <name val="Calibri"/>
      <family val="0"/>
      <charset val="1"/>
    </font>
    <font>
      <b val="true"/>
      <sz val="9"/>
      <color rgb="FF0A5FAD"/>
      <name val="Calibri"/>
      <family val="0"/>
      <charset val="1"/>
    </font>
    <font>
      <sz val="9"/>
      <color rgb="FF2C2C29"/>
      <name val="Calibri"/>
      <family val="0"/>
      <charset val="1"/>
    </font>
    <font>
      <b val="true"/>
      <sz val="9"/>
      <color rgb="FF117733"/>
      <name val="Calibri"/>
      <family val="0"/>
      <charset val="1"/>
    </font>
    <font>
      <i val="true"/>
      <sz val="11"/>
      <color rgb="FF8A857D"/>
      <name val="Calibri"/>
      <family val="0"/>
      <charset val="1"/>
    </font>
    <font>
      <b val="true"/>
      <sz val="13"/>
      <color rgb="FF1A1A17"/>
      <name val="Calibri"/>
      <family val="0"/>
      <charset val="1"/>
    </font>
    <font>
      <b val="true"/>
      <sz val="18"/>
      <color rgb="FF1A1A17"/>
      <name val="Calibri"/>
      <family val="0"/>
      <charset val="1"/>
    </font>
    <font>
      <sz val="11"/>
      <color rgb="FF1A1A17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2"/>
      <color rgb="FF8A857D"/>
      <name val="Calibri"/>
      <family val="0"/>
      <charset val="1"/>
    </font>
    <font>
      <b val="true"/>
      <sz val="10"/>
      <color rgb="FF0A5FAD"/>
      <name val="Calibri"/>
      <family val="0"/>
      <charset val="1"/>
    </font>
    <font>
      <sz val="10"/>
      <color rgb="FF2C2C29"/>
      <name val="Calibri"/>
      <family val="0"/>
      <charset val="1"/>
    </font>
    <font>
      <i val="true"/>
      <sz val="10"/>
      <color rgb="FF117733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17"/>
        <bgColor rgb="FF2C2C29"/>
      </patternFill>
    </fill>
    <fill>
      <patternFill patternType="solid">
        <fgColor rgb="FF0A5FAD"/>
        <bgColor rgb="FF0077BB"/>
      </patternFill>
    </fill>
    <fill>
      <patternFill patternType="solid">
        <fgColor rgb="FF117733"/>
        <bgColor rgb="FF339966"/>
      </patternFill>
    </fill>
    <fill>
      <patternFill patternType="solid">
        <fgColor rgb="FFDDAA33"/>
        <bgColor rgb="FFFFCC00"/>
      </patternFill>
    </fill>
    <fill>
      <patternFill patternType="solid">
        <fgColor rgb="FFF8F4EC"/>
        <bgColor rgb="FFFFFFFF"/>
      </patternFill>
    </fill>
    <fill>
      <patternFill patternType="solid">
        <fgColor rgb="FFFFFFFF"/>
        <bgColor rgb="FFF8F4E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A5FAD"/>
      </bottom>
      <diagonal/>
    </border>
    <border diagonalUp="false" diagonalDown="false">
      <left/>
      <right/>
      <top/>
      <bottom style="medium">
        <color rgb="FF1A1A17"/>
      </bottom>
      <diagonal/>
    </border>
    <border diagonalUp="false" diagonalDown="false">
      <left style="thin">
        <color rgb="FF1A1A17"/>
      </left>
      <right style="thin">
        <color rgb="FF1A1A17"/>
      </right>
      <top style="thin">
        <color rgb="FF1A1A17"/>
      </top>
      <bottom style="thin">
        <color rgb="FF1A1A17"/>
      </bottom>
      <diagonal/>
    </border>
    <border diagonalUp="false" diagonalDown="false">
      <left style="thin">
        <color rgb="FFE0DDD4"/>
      </left>
      <right style="thin">
        <color rgb="FFE0DDD4"/>
      </right>
      <top style="thin">
        <color rgb="FFE0DDD4"/>
      </top>
      <bottom style="thin">
        <color rgb="FFE0DD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5" fillId="6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5" fillId="6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5" fillId="7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5" fillId="7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7" fillId="2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8" fillId="6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5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8" fillId="7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8" fillId="7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8" fillId="6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2" fillId="6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7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2" fillId="7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6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4" fillId="6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5" fillId="6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6" fillId="6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7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4" fillId="7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5" fillId="7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6" fillId="7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Calibri"/>
        <charset val="1"/>
        <family val="0"/>
        <b val="1"/>
        <color rgb="FFFFFFFF"/>
        <sz val="10"/>
      </font>
      <fill>
        <patternFill>
          <bgColor rgb="FFCC3311"/>
        </patternFill>
      </fill>
    </dxf>
    <dxf>
      <font>
        <name val="Calibri"/>
        <charset val="1"/>
        <family val="0"/>
        <b val="1"/>
        <color rgb="FFCC3311"/>
        <sz val="10"/>
      </font>
      <fill>
        <patternFill>
          <bgColor rgb="FFF2D0C6"/>
        </patternFill>
      </fill>
    </dxf>
    <dxf>
      <font>
        <name val="Calibri"/>
        <charset val="1"/>
        <family val="0"/>
        <b val="1"/>
        <color rgb="FF1A1A17"/>
        <sz val="10"/>
      </font>
      <fill>
        <patternFill>
          <bgColor rgb="FFDDAA33"/>
        </patternFill>
      </fill>
    </dxf>
    <dxf>
      <font>
        <name val="Calibri"/>
        <charset val="1"/>
        <family val="0"/>
        <b val="1"/>
        <color rgb="FF117733"/>
        <sz val="10"/>
      </font>
      <fill>
        <patternFill>
          <bgColor rgb="FFCBE4CE"/>
        </patternFill>
      </fill>
    </dxf>
    <dxf>
      <font>
        <name val="Calibri"/>
        <charset val="1"/>
        <family val="0"/>
        <b val="1"/>
        <color rgb="FFFFFFFF"/>
        <sz val="9"/>
      </font>
      <fill>
        <patternFill>
          <bgColor rgb="FFCC3311"/>
        </patternFill>
      </fill>
    </dxf>
    <dxf>
      <font>
        <name val="Calibri"/>
        <charset val="1"/>
        <family val="0"/>
        <b val="1"/>
        <color rgb="FF1A1A17"/>
        <sz val="9"/>
      </font>
      <fill>
        <patternFill>
          <bgColor rgb="FFF5E6B8"/>
        </patternFill>
      </fill>
    </dxf>
    <dxf>
      <font>
        <name val="Calibri"/>
        <charset val="1"/>
        <family val="0"/>
        <b val="1"/>
        <color rgb="FF117733"/>
        <sz val="9"/>
      </font>
      <fill>
        <patternFill>
          <bgColor rgb="FFCBE4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17733"/>
      <rgbColor rgb="FF000080"/>
      <rgbColor rgb="FF808000"/>
      <rgbColor rgb="FF800080"/>
      <rgbColor rgb="FF009988"/>
      <rgbColor rgb="FFE0DDD4"/>
      <rgbColor rgb="FF8A857D"/>
      <rgbColor rgb="FF9999FF"/>
      <rgbColor rgb="FFAA3377"/>
      <rgbColor rgb="FFF8F4EC"/>
      <rgbColor rgb="FFCCFFFF"/>
      <rgbColor rgb="FF660066"/>
      <rgbColor rgb="FFFF8080"/>
      <rgbColor rgb="FF0A5FAD"/>
      <rgbColor rgb="FFD9D9D9"/>
      <rgbColor rgb="FF000080"/>
      <rgbColor rgb="FFFF00FF"/>
      <rgbColor rgb="FFFFFF00"/>
      <rgbColor rgb="FF00FFFF"/>
      <rgbColor rgb="FF800080"/>
      <rgbColor rgb="FF800000"/>
      <rgbColor rgb="FF0077BB"/>
      <rgbColor rgb="FF0000FF"/>
      <rgbColor rgb="FF00CCFF"/>
      <rgbColor rgb="FFCCFFFF"/>
      <rgbColor rgb="FFCBE4CE"/>
      <rgbColor rgb="FFF5E6B8"/>
      <rgbColor rgb="FF99CCFF"/>
      <rgbColor rgb="FFFF99CC"/>
      <rgbColor rgb="FFCC99FF"/>
      <rgbColor rgb="FFF2D0C6"/>
      <rgbColor rgb="FF4F81BD"/>
      <rgbColor rgb="FF33BBEE"/>
      <rgbColor rgb="FF99CC00"/>
      <rgbColor rgb="FFFFCC00"/>
      <rgbColor rgb="FFDDAA33"/>
      <rgbColor rgb="FFEE7733"/>
      <rgbColor rgb="FF6B665E"/>
      <rgbColor rgb="FF878787"/>
      <rgbColor rgb="FF003366"/>
      <rgbColor rgb="FF339966"/>
      <rgbColor rgb="FF003300"/>
      <rgbColor rgb="FF1A1A17"/>
      <rgbColor rgb="FFCC3311"/>
      <rgbColor rgb="FF993366"/>
      <rgbColor rgb="FF333399"/>
      <rgbColor rgb="FF2C2C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vs. YTD Actual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_ChartData!B1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77b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_ChartData!$A$2:$A$7</c:f>
              <c:strCache>
                <c:ptCount val="6"/>
                <c:pt idx="0">
                  <c:v>Airfare</c:v>
                </c:pt>
                <c:pt idx="1">
                  <c:v>Lodging</c:v>
                </c:pt>
                <c:pt idx="2">
                  <c:v>Per Diem / Meals</c:v>
                </c:pt>
                <c:pt idx="3">
                  <c:v>Ground Transportation</c:v>
                </c:pt>
                <c:pt idx="4">
                  <c:v>Conference Registration</c:v>
                </c:pt>
                <c:pt idx="5">
                  <c:v>Miscellaneous / Incidentals</c:v>
                </c:pt>
              </c:strCache>
            </c:strRef>
          </c:cat>
          <c:val>
            <c:numRef>
              <c:f>_ChartData!$B$2:$B$7</c:f>
              <c:numCache>
                <c:formatCode>\$#,##0</c:formatCode>
                <c:ptCount val="6"/>
                <c:pt idx="0">
                  <c:v>72000</c:v>
                </c:pt>
                <c:pt idx="1">
                  <c:v>48000</c:v>
                </c:pt>
                <c:pt idx="2">
                  <c:v>28000</c:v>
                </c:pt>
                <c:pt idx="3">
                  <c:v>18000</c:v>
                </c:pt>
                <c:pt idx="4">
                  <c:v>12000</c:v>
                </c:pt>
                <c:pt idx="5">
                  <c:v>7000</c:v>
                </c:pt>
              </c:numCache>
            </c:numRef>
          </c:val>
        </c:ser>
        <c:ser>
          <c:idx val="1"/>
          <c:order val="1"/>
          <c:tx>
            <c:strRef>
              <c:f>_ChartData!C1</c:f>
              <c:strCache>
                <c:ptCount val="1"/>
                <c:pt idx="0">
                  <c:v>YTD Actual</c:v>
                </c:pt>
              </c:strCache>
            </c:strRef>
          </c:tx>
          <c:spPr>
            <a:solidFill>
              <a:srgbClr val="ee773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_ChartData!$A$2:$A$7</c:f>
              <c:strCache>
                <c:ptCount val="6"/>
                <c:pt idx="0">
                  <c:v>Airfare</c:v>
                </c:pt>
                <c:pt idx="1">
                  <c:v>Lodging</c:v>
                </c:pt>
                <c:pt idx="2">
                  <c:v>Per Diem / Meals</c:v>
                </c:pt>
                <c:pt idx="3">
                  <c:v>Ground Transportation</c:v>
                </c:pt>
                <c:pt idx="4">
                  <c:v>Conference Registration</c:v>
                </c:pt>
                <c:pt idx="5">
                  <c:v>Miscellaneous / Incidentals</c:v>
                </c:pt>
              </c:strCache>
            </c:strRef>
          </c:cat>
          <c:val>
            <c:numRef>
              <c:f>_ChartData!$C$2:$C$7</c:f>
              <c:numCache>
                <c:formatCode>\$#,##0</c:formatCode>
                <c:ptCount val="6"/>
                <c:pt idx="0">
                  <c:v>11572</c:v>
                </c:pt>
                <c:pt idx="1">
                  <c:v>22785</c:v>
                </c:pt>
                <c:pt idx="2">
                  <c:v>1335</c:v>
                </c:pt>
                <c:pt idx="3">
                  <c:v>965</c:v>
                </c:pt>
                <c:pt idx="4">
                  <c:v>3795</c:v>
                </c:pt>
                <c:pt idx="5">
                  <c:v>0</c:v>
                </c:pt>
              </c:numCache>
            </c:numRef>
          </c:val>
        </c:ser>
        <c:gapWidth val="80"/>
        <c:overlap val="0"/>
        <c:axId val="91871044"/>
        <c:axId val="72574122"/>
      </c:barChart>
      <c:catAx>
        <c:axId val="918710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74122"/>
        <c:crosses val="autoZero"/>
        <c:auto val="1"/>
        <c:lblAlgn val="ctr"/>
        <c:lblOffset val="100"/>
        <c:noMultiLvlLbl val="0"/>
      </c:catAx>
      <c:valAx>
        <c:axId val="725741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710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YTD Actual Spend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_ChartData!C1</c:f>
              <c:strCache>
                <c:ptCount val="1"/>
                <c:pt idx="0">
                  <c:v>YTD Actual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77bb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e7733"/>
              </a:solidFill>
              <a:ln w="0">
                <a:noFill/>
              </a:ln>
            </c:spPr>
          </c:dPt>
          <c:dPt>
            <c:idx val="2"/>
            <c:spPr>
              <a:solidFill>
                <a:srgbClr val="33bbee"/>
              </a:solidFill>
              <a:ln w="0">
                <a:noFill/>
              </a:ln>
            </c:spPr>
          </c:dPt>
          <c:dPt>
            <c:idx val="3"/>
            <c:spPr>
              <a:solidFill>
                <a:srgbClr val="117733"/>
              </a:solidFill>
              <a:ln w="0">
                <a:noFill/>
              </a:ln>
            </c:spPr>
          </c:dPt>
          <c:dPt>
            <c:idx val="4"/>
            <c:spPr>
              <a:solidFill>
                <a:srgbClr val="aa3377"/>
              </a:solidFill>
              <a:ln w="0">
                <a:noFill/>
              </a:ln>
            </c:spPr>
          </c:dPt>
          <c:dPt>
            <c:idx val="5"/>
            <c:spPr>
              <a:solidFill>
                <a:srgbClr val="009988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_ChartData!$A$2:$A$7</c:f>
              <c:strCache>
                <c:ptCount val="6"/>
                <c:pt idx="0">
                  <c:v>Airfare</c:v>
                </c:pt>
                <c:pt idx="1">
                  <c:v>Lodging</c:v>
                </c:pt>
                <c:pt idx="2">
                  <c:v>Per Diem / Meals</c:v>
                </c:pt>
                <c:pt idx="3">
                  <c:v>Ground Transportation</c:v>
                </c:pt>
                <c:pt idx="4">
                  <c:v>Conference Registration</c:v>
                </c:pt>
                <c:pt idx="5">
                  <c:v>Miscellaneous / Incidentals</c:v>
                </c:pt>
              </c:strCache>
            </c:strRef>
          </c:cat>
          <c:val>
            <c:numRef>
              <c:f>_ChartData!$C$2:$C$7</c:f>
              <c:numCache>
                <c:formatCode>\$#,##0</c:formatCode>
                <c:ptCount val="6"/>
                <c:pt idx="0">
                  <c:v>11572</c:v>
                </c:pt>
                <c:pt idx="1">
                  <c:v>22785</c:v>
                </c:pt>
                <c:pt idx="2">
                  <c:v>1335</c:v>
                </c:pt>
                <c:pt idx="3">
                  <c:v>965</c:v>
                </c:pt>
                <c:pt idx="4">
                  <c:v>3795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Budget vs. Actual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_ChartData!F1</c:f>
              <c:strCache>
                <c:ptCount val="1"/>
                <c:pt idx="0">
                  <c:v>Monthly Budget</c:v>
                </c:pt>
              </c:strCache>
            </c:strRef>
          </c:tx>
          <c:spPr>
            <a:solidFill>
              <a:srgbClr val="0077bb"/>
            </a:solidFill>
            <a:ln w="24120">
              <a:solidFill>
                <a:srgbClr val="0077b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_ChartData!$E$2:$E$13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_ChartData!$F$2:$F$13</c:f>
              <c:numCache>
                <c:formatCode>\$#,##0</c:formatCode>
                <c:ptCount val="12"/>
                <c:pt idx="0">
                  <c:v>15417</c:v>
                </c:pt>
                <c:pt idx="1">
                  <c:v>15417</c:v>
                </c:pt>
                <c:pt idx="2">
                  <c:v>15417</c:v>
                </c:pt>
                <c:pt idx="3">
                  <c:v>15417</c:v>
                </c:pt>
                <c:pt idx="4">
                  <c:v>15417</c:v>
                </c:pt>
                <c:pt idx="5">
                  <c:v>15417</c:v>
                </c:pt>
                <c:pt idx="6">
                  <c:v>15417</c:v>
                </c:pt>
                <c:pt idx="7">
                  <c:v>15417</c:v>
                </c:pt>
                <c:pt idx="8">
                  <c:v>15417</c:v>
                </c:pt>
                <c:pt idx="9">
                  <c:v>15417</c:v>
                </c:pt>
                <c:pt idx="10">
                  <c:v>15417</c:v>
                </c:pt>
                <c:pt idx="11">
                  <c:v>15417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_ChartData!G1</c:f>
              <c:strCache>
                <c:ptCount val="1"/>
                <c:pt idx="0">
                  <c:v>Actual Spend</c:v>
                </c:pt>
              </c:strCache>
            </c:strRef>
          </c:tx>
          <c:spPr>
            <a:solidFill>
              <a:srgbClr val="ee7733"/>
            </a:solidFill>
            <a:ln w="32040">
              <a:solidFill>
                <a:srgbClr val="ee7733"/>
              </a:solidFill>
              <a:round/>
            </a:ln>
          </c:spPr>
          <c:marker>
            <c:symbol val="circle"/>
            <c:size val="8"/>
            <c:spPr>
              <a:solidFill>
                <a:srgbClr val="ee773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_ChartData!$E$2:$E$13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_ChartData!$G$2:$G$13</c:f>
              <c:numCache>
                <c:formatCode>\$#,##0</c:formatCode>
                <c:ptCount val="12"/>
                <c:pt idx="0">
                  <c:v>3561</c:v>
                </c:pt>
                <c:pt idx="1">
                  <c:v>4270</c:v>
                </c:pt>
                <c:pt idx="2">
                  <c:v>3746</c:v>
                </c:pt>
                <c:pt idx="3">
                  <c:v>3125</c:v>
                </c:pt>
                <c:pt idx="4">
                  <c:v>3915</c:v>
                </c:pt>
                <c:pt idx="5">
                  <c:v>4888</c:v>
                </c:pt>
                <c:pt idx="6">
                  <c:v>2992</c:v>
                </c:pt>
                <c:pt idx="7">
                  <c:v>3145</c:v>
                </c:pt>
                <c:pt idx="8">
                  <c:v>2995</c:v>
                </c:pt>
                <c:pt idx="9">
                  <c:v>3495</c:v>
                </c:pt>
                <c:pt idx="10">
                  <c:v>2375</c:v>
                </c:pt>
                <c:pt idx="11">
                  <c:v>1945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8893023"/>
        <c:axId val="89067085"/>
      </c:lineChart>
      <c:catAx>
        <c:axId val="2889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67085"/>
        <c:crosses val="autoZero"/>
        <c:auto val="1"/>
        <c:lblAlgn val="ctr"/>
        <c:lblOffset val="100"/>
        <c:noMultiLvlLbl val="0"/>
      </c:catAx>
      <c:valAx>
        <c:axId val="890670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930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YTD Cumulative: Budget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_ChartData!H1</c:f>
              <c:strCache>
                <c:ptCount val="1"/>
                <c:pt idx="0">
                  <c:v>YTD Budget</c:v>
                </c:pt>
              </c:strCache>
            </c:strRef>
          </c:tx>
          <c:spPr>
            <a:solidFill>
              <a:srgbClr val="0077bb"/>
            </a:solidFill>
            <a:ln w="32040">
              <a:solidFill>
                <a:srgbClr val="0077bb"/>
              </a:solidFill>
              <a:prstDash val="dash"/>
              <a:round/>
            </a:ln>
          </c:spPr>
          <c:marker>
            <c:symbol val="circle"/>
            <c:size val="7"/>
            <c:spPr>
              <a:solidFill>
                <a:srgbClr val="0077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_ChartData!$E$2:$E$13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_ChartData!$H$2:$H$13</c:f>
              <c:numCache>
                <c:formatCode>\$#,##0</c:formatCode>
                <c:ptCount val="12"/>
                <c:pt idx="0">
                  <c:v>15417</c:v>
                </c:pt>
                <c:pt idx="1">
                  <c:v>30834</c:v>
                </c:pt>
                <c:pt idx="2">
                  <c:v>46251</c:v>
                </c:pt>
                <c:pt idx="3">
                  <c:v>61668</c:v>
                </c:pt>
                <c:pt idx="4">
                  <c:v>77085</c:v>
                </c:pt>
                <c:pt idx="5">
                  <c:v>92502</c:v>
                </c:pt>
                <c:pt idx="6">
                  <c:v>107919</c:v>
                </c:pt>
                <c:pt idx="7">
                  <c:v>123336</c:v>
                </c:pt>
                <c:pt idx="8">
                  <c:v>138753</c:v>
                </c:pt>
                <c:pt idx="9">
                  <c:v>154170</c:v>
                </c:pt>
                <c:pt idx="10">
                  <c:v>169587</c:v>
                </c:pt>
                <c:pt idx="11">
                  <c:v>185004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_ChartData!I1</c:f>
              <c:strCache>
                <c:ptCount val="1"/>
                <c:pt idx="0">
                  <c:v>YTD Actual</c:v>
                </c:pt>
              </c:strCache>
            </c:strRef>
          </c:tx>
          <c:spPr>
            <a:solidFill>
              <a:srgbClr val="117733"/>
            </a:solidFill>
            <a:ln w="32040">
              <a:solidFill>
                <a:srgbClr val="117733"/>
              </a:solidFill>
              <a:round/>
            </a:ln>
          </c:spPr>
          <c:marker>
            <c:symbol val="square"/>
            <c:size val="7"/>
            <c:spPr>
              <a:solidFill>
                <a:srgbClr val="11773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_ChartData!$E$2:$E$13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_ChartData!$I$2:$I$13</c:f>
              <c:numCache>
                <c:formatCode>\$#,##0</c:formatCode>
                <c:ptCount val="12"/>
                <c:pt idx="0">
                  <c:v>3561</c:v>
                </c:pt>
                <c:pt idx="1">
                  <c:v>7831</c:v>
                </c:pt>
                <c:pt idx="2">
                  <c:v>11577</c:v>
                </c:pt>
                <c:pt idx="3">
                  <c:v>14702</c:v>
                </c:pt>
                <c:pt idx="4">
                  <c:v>18617</c:v>
                </c:pt>
                <c:pt idx="5">
                  <c:v>23505</c:v>
                </c:pt>
                <c:pt idx="6">
                  <c:v>26497</c:v>
                </c:pt>
                <c:pt idx="7">
                  <c:v>29642</c:v>
                </c:pt>
                <c:pt idx="8">
                  <c:v>32637</c:v>
                </c:pt>
                <c:pt idx="9">
                  <c:v>36132</c:v>
                </c:pt>
                <c:pt idx="10">
                  <c:v>38507</c:v>
                </c:pt>
                <c:pt idx="11">
                  <c:v>40452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9217349"/>
        <c:axId val="53635549"/>
      </c:lineChart>
      <c:catAx>
        <c:axId val="692173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35549"/>
        <c:crosses val="autoZero"/>
        <c:auto val="1"/>
        <c:lblAlgn val="ctr"/>
        <c:lblOffset val="100"/>
        <c:noMultiLvlLbl val="0"/>
      </c:catAx>
      <c:valAx>
        <c:axId val="536355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(Cumulative)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173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Trip Cost Ranking (Top Trips by Total Cost)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_ChartData!L1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ee7733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ddaa33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ddaa33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ddaa33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ddaa33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ddaa33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ddaa33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ddaa33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0077bb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0077bb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0077bb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0077bb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0077bb"/>
              </a:solidFill>
              <a:ln w="0">
                <a:noFill/>
              </a:ln>
            </c:spPr>
          </c:dPt>
          <c:dPt>
            <c:idx val="13"/>
            <c:invertIfNegative val="0"/>
            <c:spPr>
              <a:solidFill>
                <a:srgbClr val="0077bb"/>
              </a:solidFill>
              <a:ln w="0">
                <a:noFill/>
              </a:ln>
            </c:spPr>
          </c:dPt>
          <c:dPt>
            <c:idx val="14"/>
            <c:invertIfNegative val="0"/>
            <c:spPr>
              <a:solidFill>
                <a:srgbClr val="0077bb"/>
              </a:solidFill>
              <a:ln w="0">
                <a:noFill/>
              </a:ln>
            </c:spPr>
          </c:dPt>
          <c:dPt>
            <c:idx val="15"/>
            <c:invertIfNegative val="0"/>
            <c:spPr>
              <a:solidFill>
                <a:srgbClr val="0077bb"/>
              </a:solidFill>
              <a:ln w="0">
                <a:noFill/>
              </a:ln>
            </c:spPr>
          </c:dPt>
          <c:dPt>
            <c:idx val="16"/>
            <c:invertIfNegative val="0"/>
            <c:spPr>
              <a:solidFill>
                <a:srgbClr val="0077bb"/>
              </a:solidFill>
              <a:ln w="0">
                <a:noFill/>
              </a:ln>
            </c:spPr>
          </c:dPt>
          <c:dPt>
            <c:idx val="17"/>
            <c:invertIfNegative val="0"/>
            <c:spPr>
              <a:solidFill>
                <a:srgbClr val="0077bb"/>
              </a:solidFill>
              <a:ln w="0">
                <a:noFill/>
              </a:ln>
            </c:spPr>
          </c:dPt>
          <c:dPt>
            <c:idx val="18"/>
            <c:invertIfNegative val="0"/>
            <c:spPr>
              <a:solidFill>
                <a:srgbClr val="0077bb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0077bb"/>
              </a:solidFill>
              <a:ln w="0">
                <a:noFill/>
              </a:ln>
            </c:spPr>
          </c:dPt>
          <c:dPt>
            <c:idx val="20"/>
            <c:invertIfNegative val="0"/>
            <c:spPr>
              <a:solidFill>
                <a:srgbClr val="0077bb"/>
              </a:solidFill>
              <a:ln w="0">
                <a:noFill/>
              </a:ln>
            </c:spPr>
          </c:dPt>
          <c:dPt>
            <c:idx val="21"/>
            <c:invertIfNegative val="0"/>
            <c:spPr>
              <a:solidFill>
                <a:srgbClr val="0077bb"/>
              </a:solidFill>
              <a:ln w="0">
                <a:noFill/>
              </a:ln>
            </c:spPr>
          </c:dPt>
          <c:dPt>
            <c:idx val="22"/>
            <c:invertIfNegative val="0"/>
            <c:spPr>
              <a:solidFill>
                <a:srgbClr val="0077bb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_ChartData!$K$2:$K$24</c:f>
              <c:strCache>
                <c:ptCount val="23"/>
                <c:pt idx="0">
                  <c:v>T-2511</c:v>
                </c:pt>
                <c:pt idx="1">
                  <c:v>T-2519</c:v>
                </c:pt>
                <c:pt idx="2">
                  <c:v>T-2501</c:v>
                </c:pt>
                <c:pt idx="3">
                  <c:v>T-2510</c:v>
                </c:pt>
                <c:pt idx="4">
                  <c:v>T-2504</c:v>
                </c:pt>
                <c:pt idx="5">
                  <c:v>T-2507</c:v>
                </c:pt>
                <c:pt idx="6">
                  <c:v>T-2515</c:v>
                </c:pt>
                <c:pt idx="7">
                  <c:v>T-2506</c:v>
                </c:pt>
                <c:pt idx="8">
                  <c:v>T-2503</c:v>
                </c:pt>
                <c:pt idx="9">
                  <c:v>T-2513</c:v>
                </c:pt>
                <c:pt idx="10">
                  <c:v>T-2523</c:v>
                </c:pt>
                <c:pt idx="11">
                  <c:v>T-2505</c:v>
                </c:pt>
                <c:pt idx="12">
                  <c:v>T-2509</c:v>
                </c:pt>
                <c:pt idx="13">
                  <c:v>T-2517</c:v>
                </c:pt>
                <c:pt idx="14">
                  <c:v>T-2518</c:v>
                </c:pt>
                <c:pt idx="15">
                  <c:v>T-2521</c:v>
                </c:pt>
                <c:pt idx="16">
                  <c:v>T-2502</c:v>
                </c:pt>
                <c:pt idx="17">
                  <c:v>T-2514</c:v>
                </c:pt>
                <c:pt idx="18">
                  <c:v>T-2522</c:v>
                </c:pt>
                <c:pt idx="19">
                  <c:v>T-2516</c:v>
                </c:pt>
                <c:pt idx="20">
                  <c:v>T-2520</c:v>
                </c:pt>
                <c:pt idx="21">
                  <c:v>T-2512</c:v>
                </c:pt>
                <c:pt idx="22">
                  <c:v>T-2508</c:v>
                </c:pt>
              </c:strCache>
            </c:strRef>
          </c:cat>
          <c:val>
            <c:numRef>
              <c:f>_ChartData!$L$2:$L$24</c:f>
              <c:numCache>
                <c:formatCode>\$#,##0</c:formatCode>
                <c:ptCount val="23"/>
                <c:pt idx="0">
                  <c:v>3940</c:v>
                </c:pt>
                <c:pt idx="1">
                  <c:v>2495</c:v>
                </c:pt>
                <c:pt idx="2">
                  <c:v>2344</c:v>
                </c:pt>
                <c:pt idx="3">
                  <c:v>2325</c:v>
                </c:pt>
                <c:pt idx="4">
                  <c:v>2305</c:v>
                </c:pt>
                <c:pt idx="5">
                  <c:v>2300</c:v>
                </c:pt>
                <c:pt idx="6">
                  <c:v>2120</c:v>
                </c:pt>
                <c:pt idx="7">
                  <c:v>2065</c:v>
                </c:pt>
                <c:pt idx="8">
                  <c:v>1965</c:v>
                </c:pt>
                <c:pt idx="9">
                  <c:v>1960</c:v>
                </c:pt>
                <c:pt idx="10">
                  <c:v>1945</c:v>
                </c:pt>
                <c:pt idx="11">
                  <c:v>1681</c:v>
                </c:pt>
                <c:pt idx="12">
                  <c:v>1590</c:v>
                </c:pt>
                <c:pt idx="13">
                  <c:v>1580</c:v>
                </c:pt>
                <c:pt idx="14">
                  <c:v>1415</c:v>
                </c:pt>
                <c:pt idx="15">
                  <c:v>1345</c:v>
                </c:pt>
                <c:pt idx="16">
                  <c:v>1217</c:v>
                </c:pt>
                <c:pt idx="17">
                  <c:v>1032</c:v>
                </c:pt>
                <c:pt idx="18">
                  <c:v>1030</c:v>
                </c:pt>
                <c:pt idx="19">
                  <c:v>1025</c:v>
                </c:pt>
                <c:pt idx="20">
                  <c:v>1000</c:v>
                </c:pt>
                <c:pt idx="21">
                  <c:v>948</c:v>
                </c:pt>
                <c:pt idx="22">
                  <c:v>825</c:v>
                </c:pt>
              </c:numCache>
            </c:numRef>
          </c:val>
        </c:ser>
        <c:gapWidth val="50"/>
        <c:overlap val="0"/>
        <c:axId val="33563642"/>
        <c:axId val="65845474"/>
      </c:barChart>
      <c:catAx>
        <c:axId val="3356364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45474"/>
        <c:crosses val="autoZero"/>
        <c:auto val="1"/>
        <c:lblAlgn val="ctr"/>
        <c:lblOffset val="100"/>
        <c:noMultiLvlLbl val="0"/>
      </c:catAx>
      <c:valAx>
        <c:axId val="658454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5636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 Distribution by Traveler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_ChartData!O1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77bb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e7733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17733"/>
              </a:solidFill>
              <a:ln w="0">
                <a:noFill/>
              </a:ln>
            </c:spPr>
          </c:dPt>
          <c:dPt>
            <c:idx val="3"/>
            <c:spPr>
              <a:solidFill>
                <a:srgbClr val="aa3377"/>
              </a:solidFill>
              <a:ln w="0">
                <a:noFill/>
              </a:ln>
            </c:spPr>
          </c:dPt>
          <c:dPt>
            <c:idx val="4"/>
            <c:spPr>
              <a:solidFill>
                <a:srgbClr val="33bbe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_ChartData!$N$2:$N$6</c:f>
              <c:strCache>
                <c:ptCount val="5"/>
                <c:pt idx="0">
                  <c:v>Policy Advisor</c:v>
                </c:pt>
                <c:pt idx="1">
                  <c:v>Deputy Chief of Staff</c:v>
                </c:pt>
                <c:pt idx="2">
                  <c:v>Chief of Staff</c:v>
                </c:pt>
                <c:pt idx="3">
                  <c:v>Communications Director</c:v>
                </c:pt>
                <c:pt idx="4">
                  <c:v>Governor</c:v>
                </c:pt>
              </c:strCache>
            </c:strRef>
          </c:cat>
          <c:val>
            <c:numRef>
              <c:f>_ChartData!$O$2:$O$6</c:f>
              <c:numCache>
                <c:formatCode>\$#,##0</c:formatCode>
                <c:ptCount val="5"/>
                <c:pt idx="0">
                  <c:v>10993</c:v>
                </c:pt>
                <c:pt idx="1">
                  <c:v>10719</c:v>
                </c:pt>
                <c:pt idx="2">
                  <c:v>9245</c:v>
                </c:pt>
                <c:pt idx="3">
                  <c:v>7195</c:v>
                </c:pt>
                <c:pt idx="4">
                  <c:v>2300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</xdr:row>
      <xdr:rowOff>0</xdr:rowOff>
    </xdr:from>
    <xdr:to>
      <xdr:col>10</xdr:col>
      <xdr:colOff>136080</xdr:colOff>
      <xdr:row>23</xdr:row>
      <xdr:rowOff>170640</xdr:rowOff>
    </xdr:to>
    <xdr:graphicFrame>
      <xdr:nvGraphicFramePr>
        <xdr:cNvPr id="0" name="Chart 1"/>
        <xdr:cNvGraphicFramePr/>
      </xdr:nvGraphicFramePr>
      <xdr:xfrm>
        <a:off x="704880" y="14572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5</xdr:row>
      <xdr:rowOff>0</xdr:rowOff>
    </xdr:from>
    <xdr:to>
      <xdr:col>16</xdr:col>
      <xdr:colOff>90360</xdr:colOff>
      <xdr:row>23</xdr:row>
      <xdr:rowOff>170640</xdr:rowOff>
    </xdr:to>
    <xdr:graphicFrame>
      <xdr:nvGraphicFramePr>
        <xdr:cNvPr id="1" name="Chart 2"/>
        <xdr:cNvGraphicFramePr/>
      </xdr:nvGraphicFramePr>
      <xdr:xfrm>
        <a:off x="7048440" y="145728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10</xdr:col>
      <xdr:colOff>136080</xdr:colOff>
      <xdr:row>45</xdr:row>
      <xdr:rowOff>170640</xdr:rowOff>
    </xdr:to>
    <xdr:graphicFrame>
      <xdr:nvGraphicFramePr>
        <xdr:cNvPr id="2" name="Chart 3"/>
        <xdr:cNvGraphicFramePr/>
      </xdr:nvGraphicFramePr>
      <xdr:xfrm>
        <a:off x="704880" y="58388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27</xdr:row>
      <xdr:rowOff>0</xdr:rowOff>
    </xdr:from>
    <xdr:to>
      <xdr:col>16</xdr:col>
      <xdr:colOff>90360</xdr:colOff>
      <xdr:row>45</xdr:row>
      <xdr:rowOff>170640</xdr:rowOff>
    </xdr:to>
    <xdr:graphicFrame>
      <xdr:nvGraphicFramePr>
        <xdr:cNvPr id="3" name="Chart 4"/>
        <xdr:cNvGraphicFramePr/>
      </xdr:nvGraphicFramePr>
      <xdr:xfrm>
        <a:off x="7048440" y="583884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49</xdr:row>
      <xdr:rowOff>0</xdr:rowOff>
    </xdr:from>
    <xdr:to>
      <xdr:col>10</xdr:col>
      <xdr:colOff>136080</xdr:colOff>
      <xdr:row>67</xdr:row>
      <xdr:rowOff>170640</xdr:rowOff>
    </xdr:to>
    <xdr:graphicFrame>
      <xdr:nvGraphicFramePr>
        <xdr:cNvPr id="4" name="Chart 5"/>
        <xdr:cNvGraphicFramePr/>
      </xdr:nvGraphicFramePr>
      <xdr:xfrm>
        <a:off x="704880" y="102204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49</xdr:row>
      <xdr:rowOff>0</xdr:rowOff>
    </xdr:from>
    <xdr:to>
      <xdr:col>16</xdr:col>
      <xdr:colOff>90360</xdr:colOff>
      <xdr:row>67</xdr:row>
      <xdr:rowOff>170640</xdr:rowOff>
    </xdr:to>
    <xdr:graphicFrame>
      <xdr:nvGraphicFramePr>
        <xdr:cNvPr id="5" name="Chart 6"/>
        <xdr:cNvGraphicFramePr/>
      </xdr:nvGraphicFramePr>
      <xdr:xfrm>
        <a:off x="7048440" y="1022040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2"/>
  </cols>
  <sheetData>
    <row r="1" customFormat="false" ht="9.75" hidden="false" customHeight="true" outlineLevel="0" collapsed="false"/>
    <row r="2" customFormat="false" ht="48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7.5" hidden="false" customHeight="true" outlineLevel="0" collapsed="false"/>
    <row r="5" customFormat="false" ht="15.75" hidden="false" customHeight="true" outlineLevel="0" collapsed="false">
      <c r="B5" s="3" t="s">
        <v>2</v>
      </c>
      <c r="C5" s="4" t="s">
        <v>3</v>
      </c>
      <c r="D5" s="4"/>
      <c r="E5" s="5" t="s">
        <v>4</v>
      </c>
      <c r="F5" s="6" t="s">
        <v>5</v>
      </c>
      <c r="G5" s="6"/>
    </row>
    <row r="6" customFormat="false" ht="39.75" hidden="false" customHeight="true" outlineLevel="0" collapsed="false">
      <c r="B6" s="7" t="n">
        <f aca="false">C18</f>
        <v>185000</v>
      </c>
      <c r="C6" s="8" t="n">
        <f aca="false">D18</f>
        <v>40452</v>
      </c>
      <c r="D6" s="8"/>
      <c r="E6" s="9" t="n">
        <f aca="false">E18</f>
        <v>144548</v>
      </c>
      <c r="F6" s="10" t="n">
        <f aca="false">COUNTIF('Trip Log'!L4:L61,"Under Budget")/COUNTA('Trip Log'!L4:L61)</f>
        <v>1</v>
      </c>
      <c r="G6" s="10"/>
    </row>
    <row r="7" customFormat="false" ht="21.75" hidden="false" customHeight="true" outlineLevel="0" collapsed="false">
      <c r="B7" s="11" t="s">
        <v>6</v>
      </c>
      <c r="C7" s="12" t="s">
        <v>7</v>
      </c>
      <c r="D7" s="12"/>
      <c r="E7" s="13" t="s">
        <v>8</v>
      </c>
      <c r="F7" s="14" t="s">
        <v>9</v>
      </c>
      <c r="G7" s="14"/>
    </row>
    <row r="8" customFormat="false" ht="12" hidden="false" customHeight="true" outlineLevel="0" collapsed="false"/>
    <row r="9" customFormat="false" ht="12" hidden="false" customHeight="true" outlineLevel="0" collapsed="false"/>
    <row r="10" customFormat="false" ht="30" hidden="false" customHeight="true" outlineLevel="0" collapsed="false">
      <c r="B10" s="15" t="s">
        <v>10</v>
      </c>
      <c r="C10" s="15"/>
      <c r="D10" s="15"/>
      <c r="E10" s="15"/>
      <c r="F10" s="15"/>
      <c r="G10" s="15"/>
    </row>
    <row r="11" customFormat="false" ht="21.75" hidden="false" customHeight="true" outlineLevel="0" collapsed="false">
      <c r="B11" s="16" t="s">
        <v>11</v>
      </c>
      <c r="C11" s="17" t="s">
        <v>12</v>
      </c>
      <c r="D11" s="17" t="s">
        <v>13</v>
      </c>
      <c r="E11" s="17" t="s">
        <v>14</v>
      </c>
      <c r="F11" s="17" t="s">
        <v>15</v>
      </c>
      <c r="G11" s="17" t="s">
        <v>16</v>
      </c>
    </row>
    <row r="12" customFormat="false" ht="19.5" hidden="false" customHeight="true" outlineLevel="0" collapsed="false">
      <c r="B12" s="18" t="s">
        <v>17</v>
      </c>
      <c r="C12" s="19" t="n">
        <v>72000</v>
      </c>
      <c r="D12" s="20" t="n">
        <f aca="false">SUMIFS('Trip Log'!I:I,'Trip Log'!H:H,B12)</f>
        <v>11572</v>
      </c>
      <c r="E12" s="20" t="n">
        <f aca="false">C12-D12</f>
        <v>60428</v>
      </c>
      <c r="F12" s="21" t="n">
        <f aca="false">IFERROR(D12/C12,0)</f>
        <v>0.160722222222222</v>
      </c>
      <c r="G12" s="22" t="str">
        <f aca="false">IF(F12&gt;1,"Over Budget",IF(F12&gt;0.85,"Review",IF(F12&gt;0.6,"Monitor","On Track")))</f>
        <v>On Track</v>
      </c>
    </row>
    <row r="13" customFormat="false" ht="19.5" hidden="false" customHeight="true" outlineLevel="0" collapsed="false">
      <c r="B13" s="23" t="s">
        <v>18</v>
      </c>
      <c r="C13" s="24" t="n">
        <v>48000</v>
      </c>
      <c r="D13" s="25" t="n">
        <f aca="false">SUMIFS('Trip Log'!I:I,'Trip Log'!H:H,B13)</f>
        <v>22785</v>
      </c>
      <c r="E13" s="25" t="n">
        <f aca="false">C13-D13</f>
        <v>25215</v>
      </c>
      <c r="F13" s="26" t="n">
        <f aca="false">IFERROR(D13/C13,0)</f>
        <v>0.4746875</v>
      </c>
      <c r="G13" s="27" t="str">
        <f aca="false">IF(F13&gt;1,"Over Budget",IF(F13&gt;0.85,"Review",IF(F13&gt;0.6,"Monitor","On Track")))</f>
        <v>On Track</v>
      </c>
    </row>
    <row r="14" customFormat="false" ht="19.5" hidden="false" customHeight="true" outlineLevel="0" collapsed="false">
      <c r="B14" s="18" t="s">
        <v>19</v>
      </c>
      <c r="C14" s="19" t="n">
        <v>28000</v>
      </c>
      <c r="D14" s="20" t="n">
        <f aca="false">SUMIFS('Trip Log'!I:I,'Trip Log'!H:H,B14)</f>
        <v>1335</v>
      </c>
      <c r="E14" s="20" t="n">
        <f aca="false">C14-D14</f>
        <v>26665</v>
      </c>
      <c r="F14" s="21" t="n">
        <f aca="false">IFERROR(D14/C14,0)</f>
        <v>0.0476785714285714</v>
      </c>
      <c r="G14" s="22" t="str">
        <f aca="false">IF(F14&gt;1,"Over Budget",IF(F14&gt;0.85,"Review",IF(F14&gt;0.6,"Monitor","On Track")))</f>
        <v>On Track</v>
      </c>
    </row>
    <row r="15" customFormat="false" ht="19.5" hidden="false" customHeight="true" outlineLevel="0" collapsed="false">
      <c r="B15" s="23" t="s">
        <v>20</v>
      </c>
      <c r="C15" s="24" t="n">
        <v>18000</v>
      </c>
      <c r="D15" s="25" t="n">
        <f aca="false">SUMIFS('Trip Log'!I:I,'Trip Log'!H:H,B15)</f>
        <v>965</v>
      </c>
      <c r="E15" s="25" t="n">
        <f aca="false">C15-D15</f>
        <v>17035</v>
      </c>
      <c r="F15" s="26" t="n">
        <f aca="false">IFERROR(D15/C15,0)</f>
        <v>0.0536111111111111</v>
      </c>
      <c r="G15" s="27" t="str">
        <f aca="false">IF(F15&gt;1,"Over Budget",IF(F15&gt;0.85,"Review",IF(F15&gt;0.6,"Monitor","On Track")))</f>
        <v>On Track</v>
      </c>
    </row>
    <row r="16" customFormat="false" ht="19.5" hidden="false" customHeight="true" outlineLevel="0" collapsed="false">
      <c r="B16" s="18" t="s">
        <v>21</v>
      </c>
      <c r="C16" s="19" t="n">
        <v>12000</v>
      </c>
      <c r="D16" s="20" t="n">
        <f aca="false">SUMIFS('Trip Log'!I:I,'Trip Log'!H:H,B16)</f>
        <v>3795</v>
      </c>
      <c r="E16" s="20" t="n">
        <f aca="false">C16-D16</f>
        <v>8205</v>
      </c>
      <c r="F16" s="21" t="n">
        <f aca="false">IFERROR(D16/C16,0)</f>
        <v>0.31625</v>
      </c>
      <c r="G16" s="22" t="str">
        <f aca="false">IF(F16&gt;1,"Over Budget",IF(F16&gt;0.85,"Review",IF(F16&gt;0.6,"Monitor","On Track")))</f>
        <v>On Track</v>
      </c>
    </row>
    <row r="17" customFormat="false" ht="19.5" hidden="false" customHeight="true" outlineLevel="0" collapsed="false">
      <c r="B17" s="23" t="s">
        <v>22</v>
      </c>
      <c r="C17" s="24" t="n">
        <v>7000</v>
      </c>
      <c r="D17" s="25" t="n">
        <f aca="false">SUMIFS('Trip Log'!I:I,'Trip Log'!H:H,B17)</f>
        <v>0</v>
      </c>
      <c r="E17" s="25" t="n">
        <f aca="false">C17-D17</f>
        <v>7000</v>
      </c>
      <c r="F17" s="26" t="n">
        <f aca="false">IFERROR(D17/C17,0)</f>
        <v>0</v>
      </c>
      <c r="G17" s="27" t="str">
        <f aca="false">IF(F17&gt;1,"Over Budget",IF(F17&gt;0.85,"Review",IF(F17&gt;0.6,"Monitor","On Track")))</f>
        <v>On Track</v>
      </c>
    </row>
    <row r="18" customFormat="false" ht="25.5" hidden="false" customHeight="true" outlineLevel="0" collapsed="false">
      <c r="B18" s="28" t="s">
        <v>23</v>
      </c>
      <c r="C18" s="29" t="n">
        <f aca="false">SUM(C12:C17)</f>
        <v>185000</v>
      </c>
      <c r="D18" s="29" t="n">
        <f aca="false">SUM(D12:D17)</f>
        <v>40452</v>
      </c>
      <c r="E18" s="29" t="n">
        <f aca="false">SUM(E12:E17)</f>
        <v>144548</v>
      </c>
      <c r="F18" s="30" t="n">
        <f aca="false">IFERROR(D18/C18,0)</f>
        <v>0.218659459459459</v>
      </c>
      <c r="G18" s="31" t="str">
        <f aca="false">IF(F18&gt;1,"Over","On Track")</f>
        <v>On Track</v>
      </c>
    </row>
    <row r="20" customFormat="false" ht="13.5" hidden="false" customHeight="true" outlineLevel="0" collapsed="false"/>
    <row r="21" customFormat="false" ht="30" hidden="false" customHeight="true" outlineLevel="0" collapsed="false">
      <c r="B21" s="15" t="s">
        <v>24</v>
      </c>
      <c r="C21" s="15"/>
      <c r="D21" s="15"/>
      <c r="E21" s="15"/>
      <c r="F21" s="15"/>
      <c r="G21" s="15"/>
    </row>
    <row r="22" customFormat="false" ht="21.75" hidden="false" customHeight="true" outlineLevel="0" collapsed="false">
      <c r="B22" s="32" t="s">
        <v>25</v>
      </c>
      <c r="C22" s="32"/>
      <c r="D22" s="33" t="n">
        <v>23</v>
      </c>
      <c r="E22" s="32" t="s">
        <v>26</v>
      </c>
      <c r="F22" s="32"/>
      <c r="G22" s="33" t="n">
        <f aca="false">COUNTIF('Trip Log'!L4:L61,"Under Budget")</f>
        <v>58</v>
      </c>
    </row>
    <row r="23" customFormat="false" ht="21.75" hidden="false" customHeight="true" outlineLevel="0" collapsed="false">
      <c r="B23" s="34" t="s">
        <v>27</v>
      </c>
      <c r="C23" s="34"/>
      <c r="D23" s="35" t="n">
        <v>58</v>
      </c>
      <c r="E23" s="34" t="s">
        <v>28</v>
      </c>
      <c r="F23" s="34"/>
      <c r="G23" s="36" t="n">
        <f aca="false">G22/D23</f>
        <v>1</v>
      </c>
    </row>
    <row r="24" customFormat="false" ht="21.75" hidden="false" customHeight="true" outlineLevel="0" collapsed="false">
      <c r="B24" s="32" t="s">
        <v>29</v>
      </c>
      <c r="C24" s="32"/>
      <c r="D24" s="37" t="n">
        <f aca="false">D18/D23</f>
        <v>697.448275862069</v>
      </c>
      <c r="E24" s="32" t="s">
        <v>30</v>
      </c>
      <c r="F24" s="32"/>
      <c r="G24" s="37" t="n">
        <f aca="false">SUM('Trip Log'!K4:K61)</f>
        <v>3973</v>
      </c>
    </row>
    <row r="25" customFormat="false" ht="18" hidden="false" customHeight="true" outlineLevel="0" collapsed="false">
      <c r="B25" s="38" t="s">
        <v>31</v>
      </c>
      <c r="C25" s="38"/>
      <c r="D25" s="38"/>
      <c r="E25" s="38"/>
      <c r="F25" s="38"/>
      <c r="G25" s="38"/>
    </row>
    <row r="26" customFormat="false" ht="15.75" hidden="false" customHeight="true" outlineLevel="0" collapsed="false">
      <c r="B26" s="39" t="s">
        <v>32</v>
      </c>
      <c r="C26" s="39"/>
      <c r="D26" s="39"/>
      <c r="E26" s="39"/>
      <c r="F26" s="39"/>
      <c r="G26" s="39"/>
    </row>
  </sheetData>
  <mergeCells count="18">
    <mergeCell ref="B2:G2"/>
    <mergeCell ref="B3:G3"/>
    <mergeCell ref="C5:D5"/>
    <mergeCell ref="F5:G5"/>
    <mergeCell ref="C6:D6"/>
    <mergeCell ref="F6:G6"/>
    <mergeCell ref="C7:D7"/>
    <mergeCell ref="F7:G7"/>
    <mergeCell ref="B10:G10"/>
    <mergeCell ref="B21:G21"/>
    <mergeCell ref="B22:C22"/>
    <mergeCell ref="E22:F22"/>
    <mergeCell ref="B23:C23"/>
    <mergeCell ref="E23:F23"/>
    <mergeCell ref="B24:C24"/>
    <mergeCell ref="E24:F24"/>
    <mergeCell ref="B25:G25"/>
    <mergeCell ref="B26:G26"/>
  </mergeCells>
  <conditionalFormatting sqref="G12:G17">
    <cfRule type="expression" priority="2" aboveAverage="0" equalAverage="0" bottom="0" percent="0" rank="0" text="" dxfId="0">
      <formula>EXACT(G12,"Over Budget")</formula>
    </cfRule>
    <cfRule type="expression" priority="3" aboveAverage="0" equalAverage="0" bottom="0" percent="0" rank="0" text="" dxfId="1">
      <formula>EXACT(G12,"Review")</formula>
    </cfRule>
    <cfRule type="expression" priority="4" aboveAverage="0" equalAverage="0" bottom="0" percent="0" rank="0" text="" dxfId="2">
      <formula>EXACT(G12,"Monitor")</formula>
    </cfRule>
    <cfRule type="expression" priority="5" aboveAverage="0" equalAverage="0" bottom="0" percent="0" rank="0" text="" dxfId="3">
      <formula>EXACT(G12,"On Track")</formula>
    </cfRule>
  </conditionalFormatting>
  <conditionalFormatting sqref="F12:F17">
    <cfRule type="colorScale" priority="6">
      <colorScale>
        <cfvo type="num" val="0"/>
        <cfvo type="num" val="0.7"/>
        <cfvo type="num" val="1"/>
        <color rgb="FFCBE4CE"/>
        <color rgb="FFF5E6B8"/>
        <color rgb="FFF2D0C6"/>
      </colorScale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N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11" min="9" style="0" width="12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8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40" t="s">
        <v>33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customFormat="false" ht="6" hidden="false" customHeight="true" outlineLevel="0" collapsed="false"/>
    <row r="3" customFormat="false" ht="27.75" hidden="false" customHeight="true" outlineLevel="0" collapsed="false">
      <c r="B3" s="41" t="s">
        <v>34</v>
      </c>
      <c r="C3" s="41" t="s">
        <v>35</v>
      </c>
      <c r="D3" s="41" t="s">
        <v>36</v>
      </c>
      <c r="E3" s="41" t="s">
        <v>37</v>
      </c>
      <c r="F3" s="41" t="s">
        <v>38</v>
      </c>
      <c r="G3" s="41" t="s">
        <v>39</v>
      </c>
      <c r="H3" s="41" t="s">
        <v>11</v>
      </c>
      <c r="I3" s="41" t="s">
        <v>40</v>
      </c>
      <c r="J3" s="41" t="s">
        <v>41</v>
      </c>
      <c r="K3" s="41" t="s">
        <v>42</v>
      </c>
      <c r="L3" s="41" t="s">
        <v>16</v>
      </c>
      <c r="M3" s="41" t="s">
        <v>43</v>
      </c>
      <c r="N3" s="41" t="s">
        <v>44</v>
      </c>
    </row>
    <row r="4" customFormat="false" ht="18" hidden="false" customHeight="true" outlineLevel="0" collapsed="false">
      <c r="B4" s="42" t="n">
        <v>45665</v>
      </c>
      <c r="C4" s="43" t="s">
        <v>45</v>
      </c>
      <c r="D4" s="44" t="s">
        <v>46</v>
      </c>
      <c r="E4" s="44" t="s">
        <v>47</v>
      </c>
      <c r="F4" s="45" t="s">
        <v>48</v>
      </c>
      <c r="G4" s="46" t="s">
        <v>49</v>
      </c>
      <c r="H4" s="45" t="s">
        <v>17</v>
      </c>
      <c r="I4" s="47" t="n">
        <v>685</v>
      </c>
      <c r="J4" s="47" t="n">
        <v>750</v>
      </c>
      <c r="K4" s="48" t="n">
        <f aca="false">J4-I4</f>
        <v>65</v>
      </c>
      <c r="L4" s="49" t="str">
        <f aca="false">IF(K4&gt;0,"Under Budget",IF(K4=0,"At Budget","Over Budget"))</f>
        <v>Under Budget</v>
      </c>
      <c r="M4" s="46" t="s">
        <v>50</v>
      </c>
      <c r="N4" s="46" t="n">
        <v>1</v>
      </c>
    </row>
    <row r="5" customFormat="false" ht="18" hidden="false" customHeight="true" outlineLevel="0" collapsed="false">
      <c r="B5" s="50" t="n">
        <v>45665</v>
      </c>
      <c r="C5" s="51" t="s">
        <v>45</v>
      </c>
      <c r="D5" s="52" t="s">
        <v>46</v>
      </c>
      <c r="E5" s="52" t="s">
        <v>47</v>
      </c>
      <c r="F5" s="53" t="s">
        <v>48</v>
      </c>
      <c r="G5" s="54" t="s">
        <v>49</v>
      </c>
      <c r="H5" s="53" t="s">
        <v>18</v>
      </c>
      <c r="I5" s="55" t="n">
        <v>1125</v>
      </c>
      <c r="J5" s="55" t="n">
        <v>1200</v>
      </c>
      <c r="K5" s="56" t="n">
        <f aca="false">J5-I5</f>
        <v>75</v>
      </c>
      <c r="L5" s="57" t="str">
        <f aca="false">IF(K5&gt;0,"Under Budget",IF(K5=0,"At Budget","Over Budget"))</f>
        <v>Under Budget</v>
      </c>
      <c r="M5" s="54" t="s">
        <v>50</v>
      </c>
      <c r="N5" s="54" t="n">
        <v>1</v>
      </c>
    </row>
    <row r="6" customFormat="false" ht="18" hidden="false" customHeight="true" outlineLevel="0" collapsed="false">
      <c r="B6" s="42" t="n">
        <v>45665</v>
      </c>
      <c r="C6" s="43" t="s">
        <v>45</v>
      </c>
      <c r="D6" s="44" t="s">
        <v>46</v>
      </c>
      <c r="E6" s="44" t="s">
        <v>47</v>
      </c>
      <c r="F6" s="45" t="s">
        <v>48</v>
      </c>
      <c r="G6" s="46" t="s">
        <v>49</v>
      </c>
      <c r="H6" s="45" t="s">
        <v>19</v>
      </c>
      <c r="I6" s="47" t="n">
        <v>534</v>
      </c>
      <c r="J6" s="47" t="n">
        <v>600</v>
      </c>
      <c r="K6" s="48" t="n">
        <f aca="false">J6-I6</f>
        <v>66</v>
      </c>
      <c r="L6" s="49" t="str">
        <f aca="false">IF(K6&gt;0,"Under Budget",IF(K6=0,"At Budget","Over Budget"))</f>
        <v>Under Budget</v>
      </c>
      <c r="M6" s="46" t="s">
        <v>50</v>
      </c>
      <c r="N6" s="46" t="n">
        <v>1</v>
      </c>
    </row>
    <row r="7" customFormat="false" ht="18" hidden="false" customHeight="true" outlineLevel="0" collapsed="false">
      <c r="B7" s="50" t="n">
        <v>45679</v>
      </c>
      <c r="C7" s="51" t="s">
        <v>51</v>
      </c>
      <c r="D7" s="52" t="s">
        <v>52</v>
      </c>
      <c r="E7" s="52" t="s">
        <v>53</v>
      </c>
      <c r="F7" s="53" t="s">
        <v>54</v>
      </c>
      <c r="G7" s="54" t="s">
        <v>49</v>
      </c>
      <c r="H7" s="53" t="s">
        <v>17</v>
      </c>
      <c r="I7" s="55" t="n">
        <v>412</v>
      </c>
      <c r="J7" s="55" t="n">
        <v>450</v>
      </c>
      <c r="K7" s="56" t="n">
        <f aca="false">J7-I7</f>
        <v>38</v>
      </c>
      <c r="L7" s="57" t="str">
        <f aca="false">IF(K7&gt;0,"Under Budget",IF(K7=0,"At Budget","Over Budget"))</f>
        <v>Under Budget</v>
      </c>
      <c r="M7" s="54" t="s">
        <v>50</v>
      </c>
      <c r="N7" s="54" t="n">
        <v>1</v>
      </c>
    </row>
    <row r="8" customFormat="false" ht="18" hidden="false" customHeight="true" outlineLevel="0" collapsed="false">
      <c r="B8" s="42" t="n">
        <v>45679</v>
      </c>
      <c r="C8" s="43" t="s">
        <v>51</v>
      </c>
      <c r="D8" s="44" t="s">
        <v>52</v>
      </c>
      <c r="E8" s="44" t="s">
        <v>53</v>
      </c>
      <c r="F8" s="45" t="s">
        <v>54</v>
      </c>
      <c r="G8" s="46" t="s">
        <v>55</v>
      </c>
      <c r="H8" s="45" t="s">
        <v>20</v>
      </c>
      <c r="I8" s="47" t="n">
        <v>185</v>
      </c>
      <c r="J8" s="47" t="n">
        <v>250</v>
      </c>
      <c r="K8" s="48" t="n">
        <f aca="false">J8-I8</f>
        <v>65</v>
      </c>
      <c r="L8" s="49" t="str">
        <f aca="false">IF(K8&gt;0,"Under Budget",IF(K8=0,"At Budget","Over Budget"))</f>
        <v>Under Budget</v>
      </c>
      <c r="M8" s="46" t="s">
        <v>50</v>
      </c>
      <c r="N8" s="46" t="n">
        <v>1</v>
      </c>
    </row>
    <row r="9" customFormat="false" ht="18" hidden="false" customHeight="true" outlineLevel="0" collapsed="false">
      <c r="B9" s="50" t="n">
        <v>45679</v>
      </c>
      <c r="C9" s="51" t="s">
        <v>51</v>
      </c>
      <c r="D9" s="52" t="s">
        <v>52</v>
      </c>
      <c r="E9" s="52" t="s">
        <v>53</v>
      </c>
      <c r="F9" s="53" t="s">
        <v>54</v>
      </c>
      <c r="G9" s="54" t="s">
        <v>49</v>
      </c>
      <c r="H9" s="53" t="s">
        <v>18</v>
      </c>
      <c r="I9" s="55" t="n">
        <v>620</v>
      </c>
      <c r="J9" s="55" t="n">
        <v>700</v>
      </c>
      <c r="K9" s="56" t="n">
        <f aca="false">J9-I9</f>
        <v>80</v>
      </c>
      <c r="L9" s="57" t="str">
        <f aca="false">IF(K9&gt;0,"Under Budget",IF(K9=0,"At Budget","Over Budget"))</f>
        <v>Under Budget</v>
      </c>
      <c r="M9" s="54" t="s">
        <v>50</v>
      </c>
      <c r="N9" s="54" t="n">
        <v>1</v>
      </c>
    </row>
    <row r="10" customFormat="false" ht="18" hidden="false" customHeight="true" outlineLevel="0" collapsed="false">
      <c r="B10" s="42" t="n">
        <v>45693</v>
      </c>
      <c r="C10" s="43" t="s">
        <v>56</v>
      </c>
      <c r="D10" s="44" t="s">
        <v>57</v>
      </c>
      <c r="E10" s="44" t="s">
        <v>58</v>
      </c>
      <c r="F10" s="45" t="s">
        <v>59</v>
      </c>
      <c r="G10" s="46" t="s">
        <v>49</v>
      </c>
      <c r="H10" s="45" t="s">
        <v>17</v>
      </c>
      <c r="I10" s="47" t="n">
        <v>395</v>
      </c>
      <c r="J10" s="47" t="n">
        <v>425</v>
      </c>
      <c r="K10" s="48" t="n">
        <f aca="false">J10-I10</f>
        <v>30</v>
      </c>
      <c r="L10" s="49" t="str">
        <f aca="false">IF(K10&gt;0,"Under Budget",IF(K10=0,"At Budget","Over Budget"))</f>
        <v>Under Budget</v>
      </c>
      <c r="M10" s="46" t="s">
        <v>60</v>
      </c>
      <c r="N10" s="46" t="n">
        <v>2</v>
      </c>
    </row>
    <row r="11" customFormat="false" ht="18" hidden="false" customHeight="true" outlineLevel="0" collapsed="false">
      <c r="B11" s="50" t="n">
        <v>45693</v>
      </c>
      <c r="C11" s="51" t="s">
        <v>56</v>
      </c>
      <c r="D11" s="52" t="s">
        <v>57</v>
      </c>
      <c r="E11" s="52" t="s">
        <v>58</v>
      </c>
      <c r="F11" s="53" t="s">
        <v>59</v>
      </c>
      <c r="G11" s="54" t="s">
        <v>49</v>
      </c>
      <c r="H11" s="53" t="s">
        <v>18</v>
      </c>
      <c r="I11" s="55" t="n">
        <v>820</v>
      </c>
      <c r="J11" s="55" t="n">
        <v>900</v>
      </c>
      <c r="K11" s="56" t="n">
        <f aca="false">J11-I11</f>
        <v>80</v>
      </c>
      <c r="L11" s="57" t="str">
        <f aca="false">IF(K11&gt;0,"Under Budget",IF(K11=0,"At Budget","Over Budget"))</f>
        <v>Under Budget</v>
      </c>
      <c r="M11" s="54" t="s">
        <v>60</v>
      </c>
      <c r="N11" s="54" t="n">
        <v>2</v>
      </c>
    </row>
    <row r="12" customFormat="false" ht="18" hidden="false" customHeight="true" outlineLevel="0" collapsed="false">
      <c r="B12" s="42" t="n">
        <v>45693</v>
      </c>
      <c r="C12" s="43" t="s">
        <v>56</v>
      </c>
      <c r="D12" s="44" t="s">
        <v>57</v>
      </c>
      <c r="E12" s="44" t="s">
        <v>58</v>
      </c>
      <c r="F12" s="45" t="s">
        <v>59</v>
      </c>
      <c r="G12" s="46" t="s">
        <v>49</v>
      </c>
      <c r="H12" s="45" t="s">
        <v>21</v>
      </c>
      <c r="I12" s="47" t="n">
        <v>750</v>
      </c>
      <c r="J12" s="47" t="n">
        <v>800</v>
      </c>
      <c r="K12" s="48" t="n">
        <f aca="false">J12-I12</f>
        <v>50</v>
      </c>
      <c r="L12" s="49" t="str">
        <f aca="false">IF(K12&gt;0,"Under Budget",IF(K12=0,"At Budget","Over Budget"))</f>
        <v>Under Budget</v>
      </c>
      <c r="M12" s="46" t="s">
        <v>60</v>
      </c>
      <c r="N12" s="46" t="n">
        <v>2</v>
      </c>
    </row>
    <row r="13" customFormat="false" ht="18" hidden="false" customHeight="true" outlineLevel="0" collapsed="false">
      <c r="B13" s="50" t="n">
        <v>45706</v>
      </c>
      <c r="C13" s="51" t="s">
        <v>61</v>
      </c>
      <c r="D13" s="52" t="s">
        <v>62</v>
      </c>
      <c r="E13" s="52" t="s">
        <v>47</v>
      </c>
      <c r="F13" s="53" t="s">
        <v>63</v>
      </c>
      <c r="G13" s="54" t="s">
        <v>49</v>
      </c>
      <c r="H13" s="53" t="s">
        <v>17</v>
      </c>
      <c r="I13" s="55" t="n">
        <v>715</v>
      </c>
      <c r="J13" s="55" t="n">
        <v>750</v>
      </c>
      <c r="K13" s="56" t="n">
        <f aca="false">J13-I13</f>
        <v>35</v>
      </c>
      <c r="L13" s="57" t="str">
        <f aca="false">IF(K13&gt;0,"Under Budget",IF(K13=0,"At Budget","Over Budget"))</f>
        <v>Under Budget</v>
      </c>
      <c r="M13" s="54" t="s">
        <v>60</v>
      </c>
      <c r="N13" s="54" t="n">
        <v>2</v>
      </c>
    </row>
    <row r="14" customFormat="false" ht="18" hidden="false" customHeight="true" outlineLevel="0" collapsed="false">
      <c r="B14" s="42" t="n">
        <v>45706</v>
      </c>
      <c r="C14" s="43" t="s">
        <v>61</v>
      </c>
      <c r="D14" s="44" t="s">
        <v>62</v>
      </c>
      <c r="E14" s="44" t="s">
        <v>47</v>
      </c>
      <c r="F14" s="45" t="s">
        <v>63</v>
      </c>
      <c r="G14" s="46" t="s">
        <v>49</v>
      </c>
      <c r="H14" s="45" t="s">
        <v>18</v>
      </c>
      <c r="I14" s="47" t="n">
        <v>1380</v>
      </c>
      <c r="J14" s="47" t="n">
        <v>1400</v>
      </c>
      <c r="K14" s="48" t="n">
        <f aca="false">J14-I14</f>
        <v>20</v>
      </c>
      <c r="L14" s="49" t="str">
        <f aca="false">IF(K14&gt;0,"Under Budget",IF(K14=0,"At Budget","Over Budget"))</f>
        <v>Under Budget</v>
      </c>
      <c r="M14" s="46" t="s">
        <v>60</v>
      </c>
      <c r="N14" s="46" t="n">
        <v>2</v>
      </c>
    </row>
    <row r="15" customFormat="false" ht="18" hidden="false" customHeight="true" outlineLevel="0" collapsed="false">
      <c r="B15" s="50" t="n">
        <v>45706</v>
      </c>
      <c r="C15" s="51" t="s">
        <v>61</v>
      </c>
      <c r="D15" s="52" t="s">
        <v>62</v>
      </c>
      <c r="E15" s="52" t="s">
        <v>47</v>
      </c>
      <c r="F15" s="53" t="s">
        <v>63</v>
      </c>
      <c r="G15" s="54" t="s">
        <v>55</v>
      </c>
      <c r="H15" s="53" t="s">
        <v>20</v>
      </c>
      <c r="I15" s="55" t="n">
        <v>210</v>
      </c>
      <c r="J15" s="55" t="n">
        <v>250</v>
      </c>
      <c r="K15" s="56" t="n">
        <f aca="false">J15-I15</f>
        <v>40</v>
      </c>
      <c r="L15" s="57" t="str">
        <f aca="false">IF(K15&gt;0,"Under Budget",IF(K15=0,"At Budget","Over Budget"))</f>
        <v>Under Budget</v>
      </c>
      <c r="M15" s="54" t="s">
        <v>60</v>
      </c>
      <c r="N15" s="54" t="n">
        <v>2</v>
      </c>
    </row>
    <row r="16" customFormat="false" ht="18" hidden="false" customHeight="true" outlineLevel="0" collapsed="false">
      <c r="B16" s="42" t="n">
        <v>45720</v>
      </c>
      <c r="C16" s="43" t="s">
        <v>64</v>
      </c>
      <c r="D16" s="44" t="s">
        <v>52</v>
      </c>
      <c r="E16" s="44" t="s">
        <v>65</v>
      </c>
      <c r="F16" s="45" t="s">
        <v>66</v>
      </c>
      <c r="G16" s="46" t="s">
        <v>49</v>
      </c>
      <c r="H16" s="45" t="s">
        <v>17</v>
      </c>
      <c r="I16" s="47" t="n">
        <v>345</v>
      </c>
      <c r="J16" s="47" t="n">
        <v>425</v>
      </c>
      <c r="K16" s="48" t="n">
        <f aca="false">J16-I16</f>
        <v>80</v>
      </c>
      <c r="L16" s="49" t="str">
        <f aca="false">IF(K16&gt;0,"Under Budget",IF(K16=0,"At Budget","Over Budget"))</f>
        <v>Under Budget</v>
      </c>
      <c r="M16" s="46" t="s">
        <v>67</v>
      </c>
      <c r="N16" s="46" t="n">
        <v>3</v>
      </c>
    </row>
    <row r="17" customFormat="false" ht="18" hidden="false" customHeight="true" outlineLevel="0" collapsed="false">
      <c r="B17" s="50" t="n">
        <v>45720</v>
      </c>
      <c r="C17" s="51" t="s">
        <v>64</v>
      </c>
      <c r="D17" s="52" t="s">
        <v>52</v>
      </c>
      <c r="E17" s="52" t="s">
        <v>65</v>
      </c>
      <c r="F17" s="53" t="s">
        <v>66</v>
      </c>
      <c r="G17" s="54" t="s">
        <v>49</v>
      </c>
      <c r="H17" s="53" t="s">
        <v>18</v>
      </c>
      <c r="I17" s="55" t="n">
        <v>980</v>
      </c>
      <c r="J17" s="55" t="n">
        <v>1050</v>
      </c>
      <c r="K17" s="56" t="n">
        <f aca="false">J17-I17</f>
        <v>70</v>
      </c>
      <c r="L17" s="57" t="str">
        <f aca="false">IF(K17&gt;0,"Under Budget",IF(K17=0,"At Budget","Over Budget"))</f>
        <v>Under Budget</v>
      </c>
      <c r="M17" s="54" t="s">
        <v>67</v>
      </c>
      <c r="N17" s="54" t="n">
        <v>3</v>
      </c>
    </row>
    <row r="18" customFormat="false" ht="18" hidden="false" customHeight="true" outlineLevel="0" collapsed="false">
      <c r="B18" s="42" t="n">
        <v>45720</v>
      </c>
      <c r="C18" s="43" t="s">
        <v>64</v>
      </c>
      <c r="D18" s="44" t="s">
        <v>52</v>
      </c>
      <c r="E18" s="44" t="s">
        <v>65</v>
      </c>
      <c r="F18" s="45" t="s">
        <v>66</v>
      </c>
      <c r="G18" s="46" t="s">
        <v>49</v>
      </c>
      <c r="H18" s="45" t="s">
        <v>19</v>
      </c>
      <c r="I18" s="47" t="n">
        <v>356</v>
      </c>
      <c r="J18" s="47" t="n">
        <v>425</v>
      </c>
      <c r="K18" s="48" t="n">
        <f aca="false">J18-I18</f>
        <v>69</v>
      </c>
      <c r="L18" s="49" t="str">
        <f aca="false">IF(K18&gt;0,"Under Budget",IF(K18=0,"At Budget","Over Budget"))</f>
        <v>Under Budget</v>
      </c>
      <c r="M18" s="46" t="s">
        <v>67</v>
      </c>
      <c r="N18" s="46" t="n">
        <v>3</v>
      </c>
    </row>
    <row r="19" customFormat="false" ht="18" hidden="false" customHeight="true" outlineLevel="0" collapsed="false">
      <c r="B19" s="50" t="n">
        <v>45735</v>
      </c>
      <c r="C19" s="51" t="s">
        <v>68</v>
      </c>
      <c r="D19" s="52" t="s">
        <v>46</v>
      </c>
      <c r="E19" s="52" t="s">
        <v>69</v>
      </c>
      <c r="F19" s="53" t="s">
        <v>70</v>
      </c>
      <c r="G19" s="54" t="s">
        <v>49</v>
      </c>
      <c r="H19" s="53" t="s">
        <v>17</v>
      </c>
      <c r="I19" s="55" t="n">
        <v>525</v>
      </c>
      <c r="J19" s="55" t="n">
        <v>600</v>
      </c>
      <c r="K19" s="56" t="n">
        <f aca="false">J19-I19</f>
        <v>75</v>
      </c>
      <c r="L19" s="57" t="str">
        <f aca="false">IF(K19&gt;0,"Under Budget",IF(K19=0,"At Budget","Over Budget"))</f>
        <v>Under Budget</v>
      </c>
      <c r="M19" s="54" t="s">
        <v>67</v>
      </c>
      <c r="N19" s="54" t="n">
        <v>3</v>
      </c>
    </row>
    <row r="20" customFormat="false" ht="18" hidden="false" customHeight="true" outlineLevel="0" collapsed="false">
      <c r="B20" s="42" t="n">
        <v>45735</v>
      </c>
      <c r="C20" s="43" t="s">
        <v>68</v>
      </c>
      <c r="D20" s="44" t="s">
        <v>46</v>
      </c>
      <c r="E20" s="44" t="s">
        <v>69</v>
      </c>
      <c r="F20" s="45" t="s">
        <v>70</v>
      </c>
      <c r="G20" s="46" t="s">
        <v>49</v>
      </c>
      <c r="H20" s="45" t="s">
        <v>18</v>
      </c>
      <c r="I20" s="47" t="n">
        <v>890</v>
      </c>
      <c r="J20" s="47" t="n">
        <v>975</v>
      </c>
      <c r="K20" s="48" t="n">
        <f aca="false">J20-I20</f>
        <v>85</v>
      </c>
      <c r="L20" s="49" t="str">
        <f aca="false">IF(K20&gt;0,"Under Budget",IF(K20=0,"At Budget","Over Budget"))</f>
        <v>Under Budget</v>
      </c>
      <c r="M20" s="46" t="s">
        <v>67</v>
      </c>
      <c r="N20" s="46" t="n">
        <v>3</v>
      </c>
    </row>
    <row r="21" customFormat="false" ht="18" hidden="false" customHeight="true" outlineLevel="0" collapsed="false">
      <c r="B21" s="50" t="n">
        <v>45735</v>
      </c>
      <c r="C21" s="51" t="s">
        <v>68</v>
      </c>
      <c r="D21" s="52" t="s">
        <v>46</v>
      </c>
      <c r="E21" s="52" t="s">
        <v>69</v>
      </c>
      <c r="F21" s="53" t="s">
        <v>70</v>
      </c>
      <c r="G21" s="54" t="s">
        <v>49</v>
      </c>
      <c r="H21" s="53" t="s">
        <v>21</v>
      </c>
      <c r="I21" s="55" t="n">
        <v>650</v>
      </c>
      <c r="J21" s="55" t="n">
        <v>700</v>
      </c>
      <c r="K21" s="56" t="n">
        <f aca="false">J21-I21</f>
        <v>50</v>
      </c>
      <c r="L21" s="57" t="str">
        <f aca="false">IF(K21&gt;0,"Under Budget",IF(K21=0,"At Budget","Over Budget"))</f>
        <v>Under Budget</v>
      </c>
      <c r="M21" s="54" t="s">
        <v>67</v>
      </c>
      <c r="N21" s="54" t="n">
        <v>3</v>
      </c>
    </row>
    <row r="22" customFormat="false" ht="18" hidden="false" customHeight="true" outlineLevel="0" collapsed="false">
      <c r="B22" s="42" t="n">
        <v>45755</v>
      </c>
      <c r="C22" s="43" t="s">
        <v>71</v>
      </c>
      <c r="D22" s="44" t="s">
        <v>72</v>
      </c>
      <c r="E22" s="44" t="s">
        <v>73</v>
      </c>
      <c r="F22" s="45" t="s">
        <v>74</v>
      </c>
      <c r="G22" s="46" t="s">
        <v>49</v>
      </c>
      <c r="H22" s="45" t="s">
        <v>17</v>
      </c>
      <c r="I22" s="47" t="n">
        <v>525</v>
      </c>
      <c r="J22" s="47" t="n">
        <v>650</v>
      </c>
      <c r="K22" s="48" t="n">
        <f aca="false">J22-I22</f>
        <v>125</v>
      </c>
      <c r="L22" s="49" t="str">
        <f aca="false">IF(K22&gt;0,"Under Budget",IF(K22=0,"At Budget","Over Budget"))</f>
        <v>Under Budget</v>
      </c>
      <c r="M22" s="46" t="s">
        <v>75</v>
      </c>
      <c r="N22" s="46" t="n">
        <v>4</v>
      </c>
    </row>
    <row r="23" customFormat="false" ht="18" hidden="false" customHeight="true" outlineLevel="0" collapsed="false">
      <c r="B23" s="50" t="n">
        <v>45755</v>
      </c>
      <c r="C23" s="51" t="s">
        <v>71</v>
      </c>
      <c r="D23" s="52" t="s">
        <v>72</v>
      </c>
      <c r="E23" s="52" t="s">
        <v>73</v>
      </c>
      <c r="F23" s="53" t="s">
        <v>74</v>
      </c>
      <c r="G23" s="54" t="s">
        <v>49</v>
      </c>
      <c r="H23" s="53" t="s">
        <v>18</v>
      </c>
      <c r="I23" s="55" t="n">
        <v>1450</v>
      </c>
      <c r="J23" s="55" t="n">
        <v>1500</v>
      </c>
      <c r="K23" s="56" t="n">
        <f aca="false">J23-I23</f>
        <v>50</v>
      </c>
      <c r="L23" s="57" t="str">
        <f aca="false">IF(K23&gt;0,"Under Budget",IF(K23=0,"At Budget","Over Budget"))</f>
        <v>Under Budget</v>
      </c>
      <c r="M23" s="54" t="s">
        <v>75</v>
      </c>
      <c r="N23" s="54" t="n">
        <v>4</v>
      </c>
    </row>
    <row r="24" customFormat="false" ht="18" hidden="false" customHeight="true" outlineLevel="0" collapsed="false">
      <c r="B24" s="42" t="n">
        <v>45755</v>
      </c>
      <c r="C24" s="43" t="s">
        <v>71</v>
      </c>
      <c r="D24" s="44" t="s">
        <v>72</v>
      </c>
      <c r="E24" s="44" t="s">
        <v>73</v>
      </c>
      <c r="F24" s="45" t="s">
        <v>74</v>
      </c>
      <c r="G24" s="46" t="s">
        <v>55</v>
      </c>
      <c r="H24" s="45" t="s">
        <v>20</v>
      </c>
      <c r="I24" s="47" t="n">
        <v>325</v>
      </c>
      <c r="J24" s="47" t="n">
        <v>400</v>
      </c>
      <c r="K24" s="48" t="n">
        <f aca="false">J24-I24</f>
        <v>75</v>
      </c>
      <c r="L24" s="49" t="str">
        <f aca="false">IF(K24&gt;0,"Under Budget",IF(K24=0,"At Budget","Over Budget"))</f>
        <v>Under Budget</v>
      </c>
      <c r="M24" s="46" t="s">
        <v>75</v>
      </c>
      <c r="N24" s="46" t="n">
        <v>4</v>
      </c>
    </row>
    <row r="25" customFormat="false" ht="18" hidden="false" customHeight="true" outlineLevel="0" collapsed="false">
      <c r="B25" s="50" t="n">
        <v>45769</v>
      </c>
      <c r="C25" s="51" t="s">
        <v>76</v>
      </c>
      <c r="D25" s="52" t="s">
        <v>57</v>
      </c>
      <c r="E25" s="52" t="s">
        <v>77</v>
      </c>
      <c r="F25" s="53" t="s">
        <v>78</v>
      </c>
      <c r="G25" s="54" t="s">
        <v>49</v>
      </c>
      <c r="H25" s="53" t="s">
        <v>17</v>
      </c>
      <c r="I25" s="55" t="n">
        <v>285</v>
      </c>
      <c r="J25" s="55" t="n">
        <v>350</v>
      </c>
      <c r="K25" s="56" t="n">
        <f aca="false">J25-I25</f>
        <v>65</v>
      </c>
      <c r="L25" s="57" t="str">
        <f aca="false">IF(K25&gt;0,"Under Budget",IF(K25=0,"At Budget","Over Budget"))</f>
        <v>Under Budget</v>
      </c>
      <c r="M25" s="54" t="s">
        <v>75</v>
      </c>
      <c r="N25" s="54" t="n">
        <v>4</v>
      </c>
    </row>
    <row r="26" customFormat="false" ht="18" hidden="false" customHeight="true" outlineLevel="0" collapsed="false">
      <c r="B26" s="42" t="n">
        <v>45769</v>
      </c>
      <c r="C26" s="43" t="s">
        <v>76</v>
      </c>
      <c r="D26" s="44" t="s">
        <v>57</v>
      </c>
      <c r="E26" s="44" t="s">
        <v>77</v>
      </c>
      <c r="F26" s="45" t="s">
        <v>78</v>
      </c>
      <c r="G26" s="46" t="s">
        <v>49</v>
      </c>
      <c r="H26" s="45" t="s">
        <v>18</v>
      </c>
      <c r="I26" s="47" t="n">
        <v>540</v>
      </c>
      <c r="J26" s="47" t="n">
        <v>650</v>
      </c>
      <c r="K26" s="48" t="n">
        <f aca="false">J26-I26</f>
        <v>110</v>
      </c>
      <c r="L26" s="49" t="str">
        <f aca="false">IF(K26&gt;0,"Under Budget",IF(K26=0,"At Budget","Over Budget"))</f>
        <v>Under Budget</v>
      </c>
      <c r="M26" s="46" t="s">
        <v>75</v>
      </c>
      <c r="N26" s="46" t="n">
        <v>4</v>
      </c>
    </row>
    <row r="27" customFormat="false" ht="18" hidden="false" customHeight="true" outlineLevel="0" collapsed="false">
      <c r="B27" s="50" t="n">
        <v>45783</v>
      </c>
      <c r="C27" s="51" t="s">
        <v>79</v>
      </c>
      <c r="D27" s="52" t="s">
        <v>52</v>
      </c>
      <c r="E27" s="52" t="s">
        <v>80</v>
      </c>
      <c r="F27" s="53" t="s">
        <v>81</v>
      </c>
      <c r="G27" s="54" t="s">
        <v>49</v>
      </c>
      <c r="H27" s="53" t="s">
        <v>17</v>
      </c>
      <c r="I27" s="55" t="n">
        <v>425</v>
      </c>
      <c r="J27" s="55" t="n">
        <v>500</v>
      </c>
      <c r="K27" s="56" t="n">
        <f aca="false">J27-I27</f>
        <v>75</v>
      </c>
      <c r="L27" s="57" t="str">
        <f aca="false">IF(K27&gt;0,"Under Budget",IF(K27=0,"At Budget","Over Budget"))</f>
        <v>Under Budget</v>
      </c>
      <c r="M27" s="54" t="s">
        <v>82</v>
      </c>
      <c r="N27" s="54" t="n">
        <v>5</v>
      </c>
    </row>
    <row r="28" customFormat="false" ht="18" hidden="false" customHeight="true" outlineLevel="0" collapsed="false">
      <c r="B28" s="42" t="n">
        <v>45783</v>
      </c>
      <c r="C28" s="43" t="s">
        <v>79</v>
      </c>
      <c r="D28" s="44" t="s">
        <v>52</v>
      </c>
      <c r="E28" s="44" t="s">
        <v>80</v>
      </c>
      <c r="F28" s="45" t="s">
        <v>81</v>
      </c>
      <c r="G28" s="46" t="s">
        <v>49</v>
      </c>
      <c r="H28" s="45" t="s">
        <v>18</v>
      </c>
      <c r="I28" s="47" t="n">
        <v>720</v>
      </c>
      <c r="J28" s="47" t="n">
        <v>825</v>
      </c>
      <c r="K28" s="48" t="n">
        <f aca="false">J28-I28</f>
        <v>105</v>
      </c>
      <c r="L28" s="49" t="str">
        <f aca="false">IF(K28&gt;0,"Under Budget",IF(K28=0,"At Budget","Over Budget"))</f>
        <v>Under Budget</v>
      </c>
      <c r="M28" s="46" t="s">
        <v>82</v>
      </c>
      <c r="N28" s="46" t="n">
        <v>5</v>
      </c>
    </row>
    <row r="29" customFormat="false" ht="18" hidden="false" customHeight="true" outlineLevel="0" collapsed="false">
      <c r="B29" s="50" t="n">
        <v>45783</v>
      </c>
      <c r="C29" s="51" t="s">
        <v>79</v>
      </c>
      <c r="D29" s="52" t="s">
        <v>52</v>
      </c>
      <c r="E29" s="52" t="s">
        <v>80</v>
      </c>
      <c r="F29" s="53" t="s">
        <v>81</v>
      </c>
      <c r="G29" s="54" t="s">
        <v>49</v>
      </c>
      <c r="H29" s="53" t="s">
        <v>19</v>
      </c>
      <c r="I29" s="55" t="n">
        <v>445</v>
      </c>
      <c r="J29" s="55" t="n">
        <v>500</v>
      </c>
      <c r="K29" s="56" t="n">
        <f aca="false">J29-I29</f>
        <v>55</v>
      </c>
      <c r="L29" s="57" t="str">
        <f aca="false">IF(K29&gt;0,"Under Budget",IF(K29=0,"At Budget","Over Budget"))</f>
        <v>Under Budget</v>
      </c>
      <c r="M29" s="54" t="s">
        <v>82</v>
      </c>
      <c r="N29" s="54" t="n">
        <v>5</v>
      </c>
    </row>
    <row r="30" customFormat="false" ht="18" hidden="false" customHeight="true" outlineLevel="0" collapsed="false">
      <c r="B30" s="42" t="n">
        <v>45797</v>
      </c>
      <c r="C30" s="43" t="s">
        <v>83</v>
      </c>
      <c r="D30" s="44" t="s">
        <v>62</v>
      </c>
      <c r="E30" s="44" t="s">
        <v>84</v>
      </c>
      <c r="F30" s="45" t="s">
        <v>85</v>
      </c>
      <c r="G30" s="46" t="s">
        <v>49</v>
      </c>
      <c r="H30" s="45" t="s">
        <v>17</v>
      </c>
      <c r="I30" s="47" t="n">
        <v>645</v>
      </c>
      <c r="J30" s="47" t="n">
        <v>700</v>
      </c>
      <c r="K30" s="48" t="n">
        <f aca="false">J30-I30</f>
        <v>55</v>
      </c>
      <c r="L30" s="49" t="str">
        <f aca="false">IF(K30&gt;0,"Under Budget",IF(K30=0,"At Budget","Over Budget"))</f>
        <v>Under Budget</v>
      </c>
      <c r="M30" s="46" t="s">
        <v>82</v>
      </c>
      <c r="N30" s="46" t="n">
        <v>5</v>
      </c>
    </row>
    <row r="31" customFormat="false" ht="18" hidden="false" customHeight="true" outlineLevel="0" collapsed="false">
      <c r="B31" s="50" t="n">
        <v>45797</v>
      </c>
      <c r="C31" s="51" t="s">
        <v>83</v>
      </c>
      <c r="D31" s="52" t="s">
        <v>62</v>
      </c>
      <c r="E31" s="52" t="s">
        <v>84</v>
      </c>
      <c r="F31" s="53" t="s">
        <v>85</v>
      </c>
      <c r="G31" s="54" t="s">
        <v>49</v>
      </c>
      <c r="H31" s="53" t="s">
        <v>18</v>
      </c>
      <c r="I31" s="55" t="n">
        <v>1680</v>
      </c>
      <c r="J31" s="55" t="n">
        <v>1750</v>
      </c>
      <c r="K31" s="56" t="n">
        <f aca="false">J31-I31</f>
        <v>70</v>
      </c>
      <c r="L31" s="57" t="str">
        <f aca="false">IF(K31&gt;0,"Under Budget",IF(K31=0,"At Budget","Over Budget"))</f>
        <v>Under Budget</v>
      </c>
      <c r="M31" s="54" t="s">
        <v>82</v>
      </c>
      <c r="N31" s="54" t="n">
        <v>5</v>
      </c>
    </row>
    <row r="32" customFormat="false" ht="18" hidden="false" customHeight="true" outlineLevel="0" collapsed="false">
      <c r="B32" s="42" t="n">
        <v>45812</v>
      </c>
      <c r="C32" s="43" t="s">
        <v>86</v>
      </c>
      <c r="D32" s="44" t="s">
        <v>46</v>
      </c>
      <c r="E32" s="44" t="s">
        <v>87</v>
      </c>
      <c r="F32" s="45" t="s">
        <v>88</v>
      </c>
      <c r="G32" s="46" t="s">
        <v>49</v>
      </c>
      <c r="H32" s="45" t="s">
        <v>17</v>
      </c>
      <c r="I32" s="47" t="n">
        <v>895</v>
      </c>
      <c r="J32" s="47" t="n">
        <v>1100</v>
      </c>
      <c r="K32" s="48" t="n">
        <f aca="false">J32-I32</f>
        <v>205</v>
      </c>
      <c r="L32" s="49" t="str">
        <f aca="false">IF(K32&gt;0,"Under Budget",IF(K32=0,"At Budget","Over Budget"))</f>
        <v>Under Budget</v>
      </c>
      <c r="M32" s="46" t="s">
        <v>89</v>
      </c>
      <c r="N32" s="46" t="n">
        <v>6</v>
      </c>
    </row>
    <row r="33" customFormat="false" ht="18" hidden="false" customHeight="true" outlineLevel="0" collapsed="false">
      <c r="B33" s="50" t="n">
        <v>45812</v>
      </c>
      <c r="C33" s="51" t="s">
        <v>86</v>
      </c>
      <c r="D33" s="52" t="s">
        <v>46</v>
      </c>
      <c r="E33" s="52" t="s">
        <v>87</v>
      </c>
      <c r="F33" s="53" t="s">
        <v>88</v>
      </c>
      <c r="G33" s="54" t="s">
        <v>49</v>
      </c>
      <c r="H33" s="53" t="s">
        <v>18</v>
      </c>
      <c r="I33" s="55" t="n">
        <v>2150</v>
      </c>
      <c r="J33" s="55" t="n">
        <v>2200</v>
      </c>
      <c r="K33" s="56" t="n">
        <f aca="false">J33-I33</f>
        <v>50</v>
      </c>
      <c r="L33" s="57" t="str">
        <f aca="false">IF(K33&gt;0,"Under Budget",IF(K33=0,"At Budget","Over Budget"))</f>
        <v>Under Budget</v>
      </c>
      <c r="M33" s="54" t="s">
        <v>89</v>
      </c>
      <c r="N33" s="54" t="n">
        <v>6</v>
      </c>
    </row>
    <row r="34" customFormat="false" ht="18" hidden="false" customHeight="true" outlineLevel="0" collapsed="false">
      <c r="B34" s="42" t="n">
        <v>45812</v>
      </c>
      <c r="C34" s="43" t="s">
        <v>86</v>
      </c>
      <c r="D34" s="44" t="s">
        <v>46</v>
      </c>
      <c r="E34" s="44" t="s">
        <v>87</v>
      </c>
      <c r="F34" s="45" t="s">
        <v>88</v>
      </c>
      <c r="G34" s="46" t="s">
        <v>49</v>
      </c>
      <c r="H34" s="45" t="s">
        <v>21</v>
      </c>
      <c r="I34" s="47" t="n">
        <v>895</v>
      </c>
      <c r="J34" s="47" t="n">
        <v>950</v>
      </c>
      <c r="K34" s="48" t="n">
        <f aca="false">J34-I34</f>
        <v>55</v>
      </c>
      <c r="L34" s="49" t="str">
        <f aca="false">IF(K34&gt;0,"Under Budget",IF(K34=0,"At Budget","Over Budget"))</f>
        <v>Under Budget</v>
      </c>
      <c r="M34" s="46" t="s">
        <v>89</v>
      </c>
      <c r="N34" s="46" t="n">
        <v>6</v>
      </c>
    </row>
    <row r="35" customFormat="false" ht="18" hidden="false" customHeight="true" outlineLevel="0" collapsed="false">
      <c r="B35" s="50" t="n">
        <v>45826</v>
      </c>
      <c r="C35" s="51" t="s">
        <v>90</v>
      </c>
      <c r="D35" s="52" t="s">
        <v>52</v>
      </c>
      <c r="E35" s="52" t="s">
        <v>91</v>
      </c>
      <c r="F35" s="53" t="s">
        <v>92</v>
      </c>
      <c r="G35" s="54" t="s">
        <v>49</v>
      </c>
      <c r="H35" s="53" t="s">
        <v>17</v>
      </c>
      <c r="I35" s="55" t="n">
        <v>388</v>
      </c>
      <c r="J35" s="55" t="n">
        <v>450</v>
      </c>
      <c r="K35" s="56" t="n">
        <f aca="false">J35-I35</f>
        <v>62</v>
      </c>
      <c r="L35" s="57" t="str">
        <f aca="false">IF(K35&gt;0,"Under Budget",IF(K35=0,"At Budget","Over Budget"))</f>
        <v>Under Budget</v>
      </c>
      <c r="M35" s="54" t="s">
        <v>89</v>
      </c>
      <c r="N35" s="54" t="n">
        <v>6</v>
      </c>
    </row>
    <row r="36" customFormat="false" ht="18" hidden="false" customHeight="true" outlineLevel="0" collapsed="false">
      <c r="B36" s="42" t="n">
        <v>45826</v>
      </c>
      <c r="C36" s="43" t="s">
        <v>90</v>
      </c>
      <c r="D36" s="44" t="s">
        <v>52</v>
      </c>
      <c r="E36" s="44" t="s">
        <v>91</v>
      </c>
      <c r="F36" s="45" t="s">
        <v>92</v>
      </c>
      <c r="G36" s="46" t="s">
        <v>49</v>
      </c>
      <c r="H36" s="45" t="s">
        <v>18</v>
      </c>
      <c r="I36" s="47" t="n">
        <v>560</v>
      </c>
      <c r="J36" s="47" t="n">
        <v>625</v>
      </c>
      <c r="K36" s="48" t="n">
        <f aca="false">J36-I36</f>
        <v>65</v>
      </c>
      <c r="L36" s="49" t="str">
        <f aca="false">IF(K36&gt;0,"Under Budget",IF(K36=0,"At Budget","Over Budget"))</f>
        <v>Under Budget</v>
      </c>
      <c r="M36" s="46" t="s">
        <v>89</v>
      </c>
      <c r="N36" s="46" t="n">
        <v>6</v>
      </c>
    </row>
    <row r="37" customFormat="false" ht="18" hidden="false" customHeight="true" outlineLevel="0" collapsed="false">
      <c r="B37" s="50" t="n">
        <v>45847</v>
      </c>
      <c r="C37" s="51" t="s">
        <v>93</v>
      </c>
      <c r="D37" s="52" t="s">
        <v>57</v>
      </c>
      <c r="E37" s="52" t="s">
        <v>94</v>
      </c>
      <c r="F37" s="53" t="s">
        <v>95</v>
      </c>
      <c r="G37" s="54" t="s">
        <v>49</v>
      </c>
      <c r="H37" s="53" t="s">
        <v>17</v>
      </c>
      <c r="I37" s="55" t="n">
        <v>485</v>
      </c>
      <c r="J37" s="55" t="n">
        <v>550</v>
      </c>
      <c r="K37" s="56" t="n">
        <f aca="false">J37-I37</f>
        <v>65</v>
      </c>
      <c r="L37" s="57" t="str">
        <f aca="false">IF(K37&gt;0,"Under Budget",IF(K37=0,"At Budget","Over Budget"))</f>
        <v>Under Budget</v>
      </c>
      <c r="M37" s="54" t="s">
        <v>96</v>
      </c>
      <c r="N37" s="54" t="n">
        <v>7</v>
      </c>
    </row>
    <row r="38" customFormat="false" ht="18" hidden="false" customHeight="true" outlineLevel="0" collapsed="false">
      <c r="B38" s="42" t="n">
        <v>45847</v>
      </c>
      <c r="C38" s="43" t="s">
        <v>93</v>
      </c>
      <c r="D38" s="44" t="s">
        <v>57</v>
      </c>
      <c r="E38" s="44" t="s">
        <v>94</v>
      </c>
      <c r="F38" s="45" t="s">
        <v>95</v>
      </c>
      <c r="G38" s="46" t="s">
        <v>49</v>
      </c>
      <c r="H38" s="45" t="s">
        <v>18</v>
      </c>
      <c r="I38" s="47" t="n">
        <v>850</v>
      </c>
      <c r="J38" s="47" t="n">
        <v>900</v>
      </c>
      <c r="K38" s="48" t="n">
        <f aca="false">J38-I38</f>
        <v>50</v>
      </c>
      <c r="L38" s="49" t="str">
        <f aca="false">IF(K38&gt;0,"Under Budget",IF(K38=0,"At Budget","Over Budget"))</f>
        <v>Under Budget</v>
      </c>
      <c r="M38" s="46" t="s">
        <v>96</v>
      </c>
      <c r="N38" s="46" t="n">
        <v>7</v>
      </c>
    </row>
    <row r="39" customFormat="false" ht="18" hidden="false" customHeight="true" outlineLevel="0" collapsed="false">
      <c r="B39" s="50" t="n">
        <v>45847</v>
      </c>
      <c r="C39" s="51" t="s">
        <v>93</v>
      </c>
      <c r="D39" s="52" t="s">
        <v>57</v>
      </c>
      <c r="E39" s="52" t="s">
        <v>94</v>
      </c>
      <c r="F39" s="53" t="s">
        <v>95</v>
      </c>
      <c r="G39" s="54" t="s">
        <v>49</v>
      </c>
      <c r="H39" s="53" t="s">
        <v>21</v>
      </c>
      <c r="I39" s="55" t="n">
        <v>625</v>
      </c>
      <c r="J39" s="55" t="n">
        <v>700</v>
      </c>
      <c r="K39" s="56" t="n">
        <f aca="false">J39-I39</f>
        <v>75</v>
      </c>
      <c r="L39" s="57" t="str">
        <f aca="false">IF(K39&gt;0,"Under Budget",IF(K39=0,"At Budget","Over Budget"))</f>
        <v>Under Budget</v>
      </c>
      <c r="M39" s="54" t="s">
        <v>96</v>
      </c>
      <c r="N39" s="54" t="n">
        <v>7</v>
      </c>
    </row>
    <row r="40" customFormat="false" ht="18" hidden="false" customHeight="true" outlineLevel="0" collapsed="false">
      <c r="B40" s="42" t="n">
        <v>45861</v>
      </c>
      <c r="C40" s="43" t="s">
        <v>97</v>
      </c>
      <c r="D40" s="44" t="s">
        <v>52</v>
      </c>
      <c r="E40" s="44" t="s">
        <v>98</v>
      </c>
      <c r="F40" s="45" t="s">
        <v>99</v>
      </c>
      <c r="G40" s="46" t="s">
        <v>49</v>
      </c>
      <c r="H40" s="45" t="s">
        <v>17</v>
      </c>
      <c r="I40" s="47" t="n">
        <v>412</v>
      </c>
      <c r="J40" s="47" t="n">
        <v>475</v>
      </c>
      <c r="K40" s="48" t="n">
        <f aca="false">J40-I40</f>
        <v>63</v>
      </c>
      <c r="L40" s="49" t="str">
        <f aca="false">IF(K40&gt;0,"Under Budget",IF(K40=0,"At Budget","Over Budget"))</f>
        <v>Under Budget</v>
      </c>
      <c r="M40" s="46" t="s">
        <v>96</v>
      </c>
      <c r="N40" s="46" t="n">
        <v>7</v>
      </c>
    </row>
    <row r="41" customFormat="false" ht="18" hidden="false" customHeight="true" outlineLevel="0" collapsed="false">
      <c r="B41" s="50" t="n">
        <v>45861</v>
      </c>
      <c r="C41" s="51" t="s">
        <v>97</v>
      </c>
      <c r="D41" s="52" t="s">
        <v>52</v>
      </c>
      <c r="E41" s="52" t="s">
        <v>98</v>
      </c>
      <c r="F41" s="53" t="s">
        <v>99</v>
      </c>
      <c r="G41" s="54" t="s">
        <v>49</v>
      </c>
      <c r="H41" s="53" t="s">
        <v>18</v>
      </c>
      <c r="I41" s="55" t="n">
        <v>620</v>
      </c>
      <c r="J41" s="55" t="n">
        <v>700</v>
      </c>
      <c r="K41" s="56" t="n">
        <f aca="false">J41-I41</f>
        <v>80</v>
      </c>
      <c r="L41" s="57" t="str">
        <f aca="false">IF(K41&gt;0,"Under Budget",IF(K41=0,"At Budget","Over Budget"))</f>
        <v>Under Budget</v>
      </c>
      <c r="M41" s="54" t="s">
        <v>96</v>
      </c>
      <c r="N41" s="54" t="n">
        <v>7</v>
      </c>
    </row>
    <row r="42" customFormat="false" ht="18" hidden="false" customHeight="true" outlineLevel="0" collapsed="false">
      <c r="B42" s="42" t="n">
        <v>45875</v>
      </c>
      <c r="C42" s="43" t="s">
        <v>100</v>
      </c>
      <c r="D42" s="44" t="s">
        <v>62</v>
      </c>
      <c r="E42" s="44" t="s">
        <v>47</v>
      </c>
      <c r="F42" s="45" t="s">
        <v>101</v>
      </c>
      <c r="G42" s="46" t="s">
        <v>49</v>
      </c>
      <c r="H42" s="45" t="s">
        <v>17</v>
      </c>
      <c r="I42" s="47" t="n">
        <v>695</v>
      </c>
      <c r="J42" s="47" t="n">
        <v>750</v>
      </c>
      <c r="K42" s="48" t="n">
        <f aca="false">J42-I42</f>
        <v>55</v>
      </c>
      <c r="L42" s="49" t="str">
        <f aca="false">IF(K42&gt;0,"Under Budget",IF(K42=0,"At Budget","Over Budget"))</f>
        <v>Under Budget</v>
      </c>
      <c r="M42" s="46" t="s">
        <v>102</v>
      </c>
      <c r="N42" s="46" t="n">
        <v>8</v>
      </c>
    </row>
    <row r="43" customFormat="false" ht="18" hidden="false" customHeight="true" outlineLevel="0" collapsed="false">
      <c r="B43" s="50" t="n">
        <v>45875</v>
      </c>
      <c r="C43" s="51" t="s">
        <v>100</v>
      </c>
      <c r="D43" s="52" t="s">
        <v>62</v>
      </c>
      <c r="E43" s="52" t="s">
        <v>47</v>
      </c>
      <c r="F43" s="53" t="s">
        <v>101</v>
      </c>
      <c r="G43" s="54" t="s">
        <v>49</v>
      </c>
      <c r="H43" s="53" t="s">
        <v>18</v>
      </c>
      <c r="I43" s="55" t="n">
        <v>1425</v>
      </c>
      <c r="J43" s="55" t="n">
        <v>1500</v>
      </c>
      <c r="K43" s="56" t="n">
        <f aca="false">J43-I43</f>
        <v>75</v>
      </c>
      <c r="L43" s="57" t="str">
        <f aca="false">IF(K43&gt;0,"Under Budget",IF(K43=0,"At Budget","Over Budget"))</f>
        <v>Under Budget</v>
      </c>
      <c r="M43" s="54" t="s">
        <v>102</v>
      </c>
      <c r="N43" s="54" t="n">
        <v>8</v>
      </c>
    </row>
    <row r="44" customFormat="false" ht="18" hidden="false" customHeight="true" outlineLevel="0" collapsed="false">
      <c r="B44" s="42" t="n">
        <v>45889</v>
      </c>
      <c r="C44" s="43" t="s">
        <v>103</v>
      </c>
      <c r="D44" s="44" t="s">
        <v>46</v>
      </c>
      <c r="E44" s="44" t="s">
        <v>104</v>
      </c>
      <c r="F44" s="45" t="s">
        <v>105</v>
      </c>
      <c r="G44" s="46" t="s">
        <v>49</v>
      </c>
      <c r="H44" s="45" t="s">
        <v>17</v>
      </c>
      <c r="I44" s="47" t="n">
        <v>345</v>
      </c>
      <c r="J44" s="47" t="n">
        <v>425</v>
      </c>
      <c r="K44" s="48" t="n">
        <f aca="false">J44-I44</f>
        <v>80</v>
      </c>
      <c r="L44" s="49" t="str">
        <f aca="false">IF(K44&gt;0,"Under Budget",IF(K44=0,"At Budget","Over Budget"))</f>
        <v>Under Budget</v>
      </c>
      <c r="M44" s="46" t="s">
        <v>102</v>
      </c>
      <c r="N44" s="46" t="n">
        <v>8</v>
      </c>
    </row>
    <row r="45" customFormat="false" ht="18" hidden="false" customHeight="true" outlineLevel="0" collapsed="false">
      <c r="B45" s="50" t="n">
        <v>45889</v>
      </c>
      <c r="C45" s="51" t="s">
        <v>103</v>
      </c>
      <c r="D45" s="52" t="s">
        <v>46</v>
      </c>
      <c r="E45" s="52" t="s">
        <v>104</v>
      </c>
      <c r="F45" s="53" t="s">
        <v>105</v>
      </c>
      <c r="G45" s="54" t="s">
        <v>49</v>
      </c>
      <c r="H45" s="53" t="s">
        <v>18</v>
      </c>
      <c r="I45" s="55" t="n">
        <v>680</v>
      </c>
      <c r="J45" s="55" t="n">
        <v>750</v>
      </c>
      <c r="K45" s="56" t="n">
        <f aca="false">J45-I45</f>
        <v>70</v>
      </c>
      <c r="L45" s="57" t="str">
        <f aca="false">IF(K45&gt;0,"Under Budget",IF(K45=0,"At Budget","Over Budget"))</f>
        <v>Under Budget</v>
      </c>
      <c r="M45" s="54" t="s">
        <v>102</v>
      </c>
      <c r="N45" s="54" t="n">
        <v>8</v>
      </c>
    </row>
    <row r="46" customFormat="false" ht="18" hidden="false" customHeight="true" outlineLevel="0" collapsed="false">
      <c r="B46" s="42" t="n">
        <v>45903</v>
      </c>
      <c r="C46" s="43" t="s">
        <v>106</v>
      </c>
      <c r="D46" s="44" t="s">
        <v>52</v>
      </c>
      <c r="E46" s="44" t="s">
        <v>107</v>
      </c>
      <c r="F46" s="45" t="s">
        <v>108</v>
      </c>
      <c r="G46" s="46" t="s">
        <v>49</v>
      </c>
      <c r="H46" s="45" t="s">
        <v>17</v>
      </c>
      <c r="I46" s="47" t="n">
        <v>185</v>
      </c>
      <c r="J46" s="47" t="n">
        <v>250</v>
      </c>
      <c r="K46" s="48" t="n">
        <f aca="false">J46-I46</f>
        <v>65</v>
      </c>
      <c r="L46" s="49" t="str">
        <f aca="false">IF(K46&gt;0,"Under Budget",IF(K46=0,"At Budget","Over Budget"))</f>
        <v>Under Budget</v>
      </c>
      <c r="M46" s="46" t="s">
        <v>109</v>
      </c>
      <c r="N46" s="46" t="n">
        <v>9</v>
      </c>
    </row>
    <row r="47" customFormat="false" ht="18" hidden="false" customHeight="true" outlineLevel="0" collapsed="false">
      <c r="B47" s="50" t="n">
        <v>45903</v>
      </c>
      <c r="C47" s="51" t="s">
        <v>106</v>
      </c>
      <c r="D47" s="52" t="s">
        <v>52</v>
      </c>
      <c r="E47" s="52" t="s">
        <v>107</v>
      </c>
      <c r="F47" s="53" t="s">
        <v>108</v>
      </c>
      <c r="G47" s="54" t="s">
        <v>49</v>
      </c>
      <c r="H47" s="53" t="s">
        <v>18</v>
      </c>
      <c r="I47" s="55" t="n">
        <v>520</v>
      </c>
      <c r="J47" s="55" t="n">
        <v>600</v>
      </c>
      <c r="K47" s="56" t="n">
        <f aca="false">J47-I47</f>
        <v>80</v>
      </c>
      <c r="L47" s="57" t="str">
        <f aca="false">IF(K47&gt;0,"Under Budget",IF(K47=0,"At Budget","Over Budget"))</f>
        <v>Under Budget</v>
      </c>
      <c r="M47" s="54" t="s">
        <v>109</v>
      </c>
      <c r="N47" s="54" t="n">
        <v>9</v>
      </c>
    </row>
    <row r="48" customFormat="false" ht="18" hidden="false" customHeight="true" outlineLevel="0" collapsed="false">
      <c r="B48" s="42" t="n">
        <v>45903</v>
      </c>
      <c r="C48" s="43" t="s">
        <v>106</v>
      </c>
      <c r="D48" s="44" t="s">
        <v>52</v>
      </c>
      <c r="E48" s="44" t="s">
        <v>107</v>
      </c>
      <c r="F48" s="45" t="s">
        <v>108</v>
      </c>
      <c r="G48" s="46" t="s">
        <v>49</v>
      </c>
      <c r="H48" s="45" t="s">
        <v>21</v>
      </c>
      <c r="I48" s="47" t="n">
        <v>875</v>
      </c>
      <c r="J48" s="47" t="n">
        <v>900</v>
      </c>
      <c r="K48" s="48" t="n">
        <f aca="false">J48-I48</f>
        <v>25</v>
      </c>
      <c r="L48" s="49" t="str">
        <f aca="false">IF(K48&gt;0,"Under Budget",IF(K48=0,"At Budget","Over Budget"))</f>
        <v>Under Budget</v>
      </c>
      <c r="M48" s="46" t="s">
        <v>109</v>
      </c>
      <c r="N48" s="46" t="n">
        <v>9</v>
      </c>
    </row>
    <row r="49" customFormat="false" ht="18" hidden="false" customHeight="true" outlineLevel="0" collapsed="false">
      <c r="B49" s="50" t="n">
        <v>45917</v>
      </c>
      <c r="C49" s="51" t="s">
        <v>110</v>
      </c>
      <c r="D49" s="52" t="s">
        <v>57</v>
      </c>
      <c r="E49" s="52" t="s">
        <v>111</v>
      </c>
      <c r="F49" s="53" t="s">
        <v>112</v>
      </c>
      <c r="G49" s="54" t="s">
        <v>49</v>
      </c>
      <c r="H49" s="53" t="s">
        <v>17</v>
      </c>
      <c r="I49" s="55" t="n">
        <v>525</v>
      </c>
      <c r="J49" s="55" t="n">
        <v>600</v>
      </c>
      <c r="K49" s="56" t="n">
        <f aca="false">J49-I49</f>
        <v>75</v>
      </c>
      <c r="L49" s="57" t="str">
        <f aca="false">IF(K49&gt;0,"Under Budget",IF(K49=0,"At Budget","Over Budget"))</f>
        <v>Under Budget</v>
      </c>
      <c r="M49" s="54" t="s">
        <v>109</v>
      </c>
      <c r="N49" s="54" t="n">
        <v>9</v>
      </c>
    </row>
    <row r="50" customFormat="false" ht="18" hidden="false" customHeight="true" outlineLevel="0" collapsed="false">
      <c r="B50" s="42" t="n">
        <v>45917</v>
      </c>
      <c r="C50" s="43" t="s">
        <v>110</v>
      </c>
      <c r="D50" s="44" t="s">
        <v>57</v>
      </c>
      <c r="E50" s="44" t="s">
        <v>111</v>
      </c>
      <c r="F50" s="45" t="s">
        <v>112</v>
      </c>
      <c r="G50" s="46" t="s">
        <v>49</v>
      </c>
      <c r="H50" s="45" t="s">
        <v>18</v>
      </c>
      <c r="I50" s="47" t="n">
        <v>890</v>
      </c>
      <c r="J50" s="47" t="n">
        <v>975</v>
      </c>
      <c r="K50" s="48" t="n">
        <f aca="false">J50-I50</f>
        <v>85</v>
      </c>
      <c r="L50" s="49" t="str">
        <f aca="false">IF(K50&gt;0,"Under Budget",IF(K50=0,"At Budget","Over Budget"))</f>
        <v>Under Budget</v>
      </c>
      <c r="M50" s="46" t="s">
        <v>109</v>
      </c>
      <c r="N50" s="46" t="n">
        <v>9</v>
      </c>
    </row>
    <row r="51" customFormat="false" ht="18" hidden="false" customHeight="true" outlineLevel="0" collapsed="false">
      <c r="B51" s="50" t="n">
        <v>45938</v>
      </c>
      <c r="C51" s="51" t="s">
        <v>113</v>
      </c>
      <c r="D51" s="52" t="s">
        <v>62</v>
      </c>
      <c r="E51" s="52" t="s">
        <v>47</v>
      </c>
      <c r="F51" s="53" t="s">
        <v>114</v>
      </c>
      <c r="G51" s="54" t="s">
        <v>49</v>
      </c>
      <c r="H51" s="53" t="s">
        <v>17</v>
      </c>
      <c r="I51" s="55" t="n">
        <v>725</v>
      </c>
      <c r="J51" s="55" t="n">
        <v>775</v>
      </c>
      <c r="K51" s="56" t="n">
        <f aca="false">J51-I51</f>
        <v>50</v>
      </c>
      <c r="L51" s="57" t="str">
        <f aca="false">IF(K51&gt;0,"Under Budget",IF(K51=0,"At Budget","Over Budget"))</f>
        <v>Under Budget</v>
      </c>
      <c r="M51" s="54" t="s">
        <v>115</v>
      </c>
      <c r="N51" s="54" t="n">
        <v>10</v>
      </c>
    </row>
    <row r="52" customFormat="false" ht="18" hidden="false" customHeight="true" outlineLevel="0" collapsed="false">
      <c r="B52" s="42" t="n">
        <v>45938</v>
      </c>
      <c r="C52" s="43" t="s">
        <v>113</v>
      </c>
      <c r="D52" s="44" t="s">
        <v>62</v>
      </c>
      <c r="E52" s="44" t="s">
        <v>47</v>
      </c>
      <c r="F52" s="45" t="s">
        <v>114</v>
      </c>
      <c r="G52" s="46" t="s">
        <v>49</v>
      </c>
      <c r="H52" s="45" t="s">
        <v>18</v>
      </c>
      <c r="I52" s="47" t="n">
        <v>1525</v>
      </c>
      <c r="J52" s="47" t="n">
        <v>1600</v>
      </c>
      <c r="K52" s="48" t="n">
        <f aca="false">J52-I52</f>
        <v>75</v>
      </c>
      <c r="L52" s="49" t="str">
        <f aca="false">IF(K52&gt;0,"Under Budget",IF(K52=0,"At Budget","Over Budget"))</f>
        <v>Under Budget</v>
      </c>
      <c r="M52" s="46" t="s">
        <v>115</v>
      </c>
      <c r="N52" s="46" t="n">
        <v>10</v>
      </c>
    </row>
    <row r="53" customFormat="false" ht="18" hidden="false" customHeight="true" outlineLevel="0" collapsed="false">
      <c r="B53" s="50" t="n">
        <v>45938</v>
      </c>
      <c r="C53" s="51" t="s">
        <v>113</v>
      </c>
      <c r="D53" s="52" t="s">
        <v>62</v>
      </c>
      <c r="E53" s="52" t="s">
        <v>47</v>
      </c>
      <c r="F53" s="53" t="s">
        <v>114</v>
      </c>
      <c r="G53" s="54" t="s">
        <v>55</v>
      </c>
      <c r="H53" s="53" t="s">
        <v>20</v>
      </c>
      <c r="I53" s="55" t="n">
        <v>245</v>
      </c>
      <c r="J53" s="55" t="n">
        <v>300</v>
      </c>
      <c r="K53" s="56" t="n">
        <f aca="false">J53-I53</f>
        <v>55</v>
      </c>
      <c r="L53" s="57" t="str">
        <f aca="false">IF(K53&gt;0,"Under Budget",IF(K53=0,"At Budget","Over Budget"))</f>
        <v>Under Budget</v>
      </c>
      <c r="M53" s="54" t="s">
        <v>115</v>
      </c>
      <c r="N53" s="54" t="n">
        <v>10</v>
      </c>
    </row>
    <row r="54" customFormat="false" ht="18" hidden="false" customHeight="true" outlineLevel="0" collapsed="false">
      <c r="B54" s="42" t="n">
        <v>45952</v>
      </c>
      <c r="C54" s="43" t="s">
        <v>116</v>
      </c>
      <c r="D54" s="44" t="s">
        <v>52</v>
      </c>
      <c r="E54" s="44" t="s">
        <v>117</v>
      </c>
      <c r="F54" s="45" t="s">
        <v>118</v>
      </c>
      <c r="G54" s="46" t="s">
        <v>49</v>
      </c>
      <c r="H54" s="45" t="s">
        <v>17</v>
      </c>
      <c r="I54" s="47" t="n">
        <v>385</v>
      </c>
      <c r="J54" s="47" t="n">
        <v>425</v>
      </c>
      <c r="K54" s="48" t="n">
        <f aca="false">J54-I54</f>
        <v>40</v>
      </c>
      <c r="L54" s="49" t="str">
        <f aca="false">IF(K54&gt;0,"Under Budget",IF(K54=0,"At Budget","Over Budget"))</f>
        <v>Under Budget</v>
      </c>
      <c r="M54" s="46" t="s">
        <v>115</v>
      </c>
      <c r="N54" s="46" t="n">
        <v>10</v>
      </c>
    </row>
    <row r="55" customFormat="false" ht="18" hidden="false" customHeight="true" outlineLevel="0" collapsed="false">
      <c r="B55" s="50" t="n">
        <v>45952</v>
      </c>
      <c r="C55" s="51" t="s">
        <v>116</v>
      </c>
      <c r="D55" s="52" t="s">
        <v>52</v>
      </c>
      <c r="E55" s="52" t="s">
        <v>117</v>
      </c>
      <c r="F55" s="53" t="s">
        <v>118</v>
      </c>
      <c r="G55" s="54" t="s">
        <v>49</v>
      </c>
      <c r="H55" s="53" t="s">
        <v>18</v>
      </c>
      <c r="I55" s="55" t="n">
        <v>615</v>
      </c>
      <c r="J55" s="55" t="n">
        <v>700</v>
      </c>
      <c r="K55" s="56" t="n">
        <f aca="false">J55-I55</f>
        <v>85</v>
      </c>
      <c r="L55" s="57" t="str">
        <f aca="false">IF(K55&gt;0,"Under Budget",IF(K55=0,"At Budget","Over Budget"))</f>
        <v>Under Budget</v>
      </c>
      <c r="M55" s="54" t="s">
        <v>115</v>
      </c>
      <c r="N55" s="54" t="n">
        <v>10</v>
      </c>
    </row>
    <row r="56" customFormat="false" ht="18" hidden="false" customHeight="true" outlineLevel="0" collapsed="false">
      <c r="B56" s="42" t="n">
        <v>45966</v>
      </c>
      <c r="C56" s="43" t="s">
        <v>119</v>
      </c>
      <c r="D56" s="44" t="s">
        <v>46</v>
      </c>
      <c r="E56" s="44" t="s">
        <v>120</v>
      </c>
      <c r="F56" s="45" t="s">
        <v>121</v>
      </c>
      <c r="G56" s="46" t="s">
        <v>49</v>
      </c>
      <c r="H56" s="45" t="s">
        <v>17</v>
      </c>
      <c r="I56" s="47" t="n">
        <v>495</v>
      </c>
      <c r="J56" s="47" t="n">
        <v>550</v>
      </c>
      <c r="K56" s="48" t="n">
        <f aca="false">J56-I56</f>
        <v>55</v>
      </c>
      <c r="L56" s="49" t="str">
        <f aca="false">IF(K56&gt;0,"Under Budget",IF(K56=0,"At Budget","Over Budget"))</f>
        <v>Under Budget</v>
      </c>
      <c r="M56" s="46" t="s">
        <v>122</v>
      </c>
      <c r="N56" s="46" t="n">
        <v>11</v>
      </c>
    </row>
    <row r="57" customFormat="false" ht="18" hidden="false" customHeight="true" outlineLevel="0" collapsed="false">
      <c r="B57" s="50" t="n">
        <v>45966</v>
      </c>
      <c r="C57" s="51" t="s">
        <v>119</v>
      </c>
      <c r="D57" s="52" t="s">
        <v>46</v>
      </c>
      <c r="E57" s="52" t="s">
        <v>120</v>
      </c>
      <c r="F57" s="53" t="s">
        <v>121</v>
      </c>
      <c r="G57" s="54" t="s">
        <v>49</v>
      </c>
      <c r="H57" s="53" t="s">
        <v>18</v>
      </c>
      <c r="I57" s="55" t="n">
        <v>850</v>
      </c>
      <c r="J57" s="55" t="n">
        <v>925</v>
      </c>
      <c r="K57" s="56" t="n">
        <f aca="false">J57-I57</f>
        <v>75</v>
      </c>
      <c r="L57" s="57" t="str">
        <f aca="false">IF(K57&gt;0,"Under Budget",IF(K57=0,"At Budget","Over Budget"))</f>
        <v>Under Budget</v>
      </c>
      <c r="M57" s="54" t="s">
        <v>122</v>
      </c>
      <c r="N57" s="54" t="n">
        <v>11</v>
      </c>
    </row>
    <row r="58" customFormat="false" ht="18" hidden="false" customHeight="true" outlineLevel="0" collapsed="false">
      <c r="B58" s="42" t="n">
        <v>45980</v>
      </c>
      <c r="C58" s="43" t="s">
        <v>123</v>
      </c>
      <c r="D58" s="44" t="s">
        <v>57</v>
      </c>
      <c r="E58" s="44" t="s">
        <v>124</v>
      </c>
      <c r="F58" s="45" t="s">
        <v>125</v>
      </c>
      <c r="G58" s="46" t="s">
        <v>49</v>
      </c>
      <c r="H58" s="45" t="s">
        <v>17</v>
      </c>
      <c r="I58" s="47" t="n">
        <v>385</v>
      </c>
      <c r="J58" s="47" t="n">
        <v>450</v>
      </c>
      <c r="K58" s="48" t="n">
        <f aca="false">J58-I58</f>
        <v>65</v>
      </c>
      <c r="L58" s="49" t="str">
        <f aca="false">IF(K58&gt;0,"Under Budget",IF(K58=0,"At Budget","Over Budget"))</f>
        <v>Under Budget</v>
      </c>
      <c r="M58" s="46" t="s">
        <v>122</v>
      </c>
      <c r="N58" s="46" t="n">
        <v>11</v>
      </c>
    </row>
    <row r="59" customFormat="false" ht="18" hidden="false" customHeight="true" outlineLevel="0" collapsed="false">
      <c r="B59" s="50" t="n">
        <v>45980</v>
      </c>
      <c r="C59" s="51" t="s">
        <v>123</v>
      </c>
      <c r="D59" s="52" t="s">
        <v>57</v>
      </c>
      <c r="E59" s="52" t="s">
        <v>124</v>
      </c>
      <c r="F59" s="53" t="s">
        <v>125</v>
      </c>
      <c r="G59" s="54" t="s">
        <v>49</v>
      </c>
      <c r="H59" s="53" t="s">
        <v>18</v>
      </c>
      <c r="I59" s="55" t="n">
        <v>645</v>
      </c>
      <c r="J59" s="55" t="n">
        <v>725</v>
      </c>
      <c r="K59" s="56" t="n">
        <f aca="false">J59-I59</f>
        <v>80</v>
      </c>
      <c r="L59" s="57" t="str">
        <f aca="false">IF(K59&gt;0,"Under Budget",IF(K59=0,"At Budget","Over Budget"))</f>
        <v>Under Budget</v>
      </c>
      <c r="M59" s="54" t="s">
        <v>122</v>
      </c>
      <c r="N59" s="54" t="n">
        <v>11</v>
      </c>
    </row>
    <row r="60" customFormat="false" ht="18" hidden="false" customHeight="true" outlineLevel="0" collapsed="false">
      <c r="B60" s="42" t="n">
        <v>45994</v>
      </c>
      <c r="C60" s="43" t="s">
        <v>126</v>
      </c>
      <c r="D60" s="44" t="s">
        <v>52</v>
      </c>
      <c r="E60" s="44" t="s">
        <v>47</v>
      </c>
      <c r="F60" s="45" t="s">
        <v>127</v>
      </c>
      <c r="G60" s="46" t="s">
        <v>49</v>
      </c>
      <c r="H60" s="45" t="s">
        <v>17</v>
      </c>
      <c r="I60" s="47" t="n">
        <v>695</v>
      </c>
      <c r="J60" s="47" t="n">
        <v>750</v>
      </c>
      <c r="K60" s="48" t="n">
        <f aca="false">J60-I60</f>
        <v>55</v>
      </c>
      <c r="L60" s="49" t="str">
        <f aca="false">IF(K60&gt;0,"Under Budget",IF(K60=0,"At Budget","Over Budget"))</f>
        <v>Under Budget</v>
      </c>
      <c r="M60" s="46" t="s">
        <v>128</v>
      </c>
      <c r="N60" s="46" t="n">
        <v>12</v>
      </c>
    </row>
    <row r="61" customFormat="false" ht="18" hidden="false" customHeight="true" outlineLevel="0" collapsed="false">
      <c r="B61" s="50" t="n">
        <v>45994</v>
      </c>
      <c r="C61" s="51" t="s">
        <v>126</v>
      </c>
      <c r="D61" s="52" t="s">
        <v>52</v>
      </c>
      <c r="E61" s="52" t="s">
        <v>47</v>
      </c>
      <c r="F61" s="53" t="s">
        <v>127</v>
      </c>
      <c r="G61" s="54" t="s">
        <v>49</v>
      </c>
      <c r="H61" s="53" t="s">
        <v>18</v>
      </c>
      <c r="I61" s="55" t="n">
        <v>1250</v>
      </c>
      <c r="J61" s="55" t="n">
        <v>1350</v>
      </c>
      <c r="K61" s="56" t="n">
        <f aca="false">J61-I61</f>
        <v>100</v>
      </c>
      <c r="L61" s="57" t="str">
        <f aca="false">IF(K61&gt;0,"Under Budget",IF(K61=0,"At Budget","Over Budget"))</f>
        <v>Under Budget</v>
      </c>
      <c r="M61" s="54" t="s">
        <v>128</v>
      </c>
      <c r="N61" s="54" t="n">
        <v>12</v>
      </c>
    </row>
    <row r="62" customFormat="false" ht="25.5" hidden="false" customHeight="true" outlineLevel="0" collapsed="false">
      <c r="B62" s="16" t="s">
        <v>129</v>
      </c>
      <c r="C62" s="16"/>
      <c r="D62" s="16"/>
      <c r="E62" s="16"/>
      <c r="F62" s="16"/>
      <c r="G62" s="16"/>
      <c r="H62" s="16"/>
      <c r="I62" s="58" t="n">
        <f aca="false">SUM(I4:I61)</f>
        <v>40452</v>
      </c>
      <c r="J62" s="58" t="n">
        <f aca="false">SUM(J4:J61)</f>
        <v>44425</v>
      </c>
      <c r="K62" s="58" t="n">
        <f aca="false">SUM(K4:K61)</f>
        <v>3973</v>
      </c>
      <c r="L62" s="17" t="str">
        <f aca="false">IF(I62&lt;=J62,"Under","Over")</f>
        <v>Under</v>
      </c>
      <c r="M62" s="17"/>
      <c r="N62" s="17"/>
    </row>
    <row r="64" customFormat="false" ht="18" hidden="false" customHeight="true" outlineLevel="0" collapsed="false">
      <c r="B64" s="38" t="s">
        <v>31</v>
      </c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</row>
  </sheetData>
  <mergeCells count="3">
    <mergeCell ref="B1:N1"/>
    <mergeCell ref="B62:H62"/>
    <mergeCell ref="B64:N64"/>
  </mergeCells>
  <conditionalFormatting sqref="L4:L61">
    <cfRule type="expression" priority="2" aboveAverage="0" equalAverage="0" bottom="0" percent="0" rank="0" text="" dxfId="4">
      <formula>EXACT(L4,"Over Budget")</formula>
    </cfRule>
    <cfRule type="expression" priority="3" aboveAverage="0" equalAverage="0" bottom="0" percent="0" rank="0" text="" dxfId="5">
      <formula>EXACT(L4,"At Budget")</formula>
    </cfRule>
    <cfRule type="expression" priority="4" aboveAverage="0" equalAverage="0" bottom="0" percent="0" rank="0" text="" dxfId="6">
      <formula>EXACT(L4,"Under Budget")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8" min="6" style="0" width="18"/>
    <col collapsed="false" customWidth="true" hidden="false" outlineLevel="0" max="9" min="9" style="0" width="14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40" t="s">
        <v>130</v>
      </c>
      <c r="C1" s="40"/>
      <c r="D1" s="40"/>
      <c r="E1" s="40"/>
      <c r="F1" s="40"/>
      <c r="G1" s="40"/>
      <c r="H1" s="40"/>
      <c r="I1" s="40"/>
    </row>
    <row r="2" customFormat="false" ht="21.75" hidden="false" customHeight="true" outlineLevel="0" collapsed="false">
      <c r="B2" s="59" t="s">
        <v>131</v>
      </c>
      <c r="C2" s="59"/>
      <c r="D2" s="59"/>
      <c r="E2" s="59"/>
      <c r="F2" s="59"/>
      <c r="G2" s="59"/>
      <c r="H2" s="59"/>
      <c r="I2" s="59"/>
    </row>
    <row r="3" customFormat="false" ht="7.5" hidden="false" customHeight="true" outlineLevel="0" collapsed="false"/>
    <row r="4" customFormat="false" ht="27.75" hidden="false" customHeight="true" outlineLevel="0" collapsed="false">
      <c r="B4" s="41" t="s">
        <v>43</v>
      </c>
      <c r="C4" s="41" t="s">
        <v>132</v>
      </c>
      <c r="D4" s="41" t="s">
        <v>133</v>
      </c>
      <c r="E4" s="41" t="s">
        <v>42</v>
      </c>
      <c r="F4" s="41" t="s">
        <v>134</v>
      </c>
      <c r="G4" s="41" t="s">
        <v>135</v>
      </c>
      <c r="H4" s="41" t="s">
        <v>136</v>
      </c>
      <c r="I4" s="41" t="s">
        <v>16</v>
      </c>
    </row>
    <row r="5" customFormat="false" ht="21.75" hidden="false" customHeight="true" outlineLevel="0" collapsed="false">
      <c r="B5" s="18" t="s">
        <v>50</v>
      </c>
      <c r="C5" s="19" t="n">
        <v>15417</v>
      </c>
      <c r="D5" s="20" t="n">
        <f aca="false">SUMIFS('Trip Log'!I:I,'Trip Log'!N:N,1)</f>
        <v>3561</v>
      </c>
      <c r="E5" s="20" t="n">
        <f aca="false">C5-D5</f>
        <v>11856</v>
      </c>
      <c r="F5" s="19" t="n">
        <f aca="false">C5</f>
        <v>15417</v>
      </c>
      <c r="G5" s="19" t="n">
        <f aca="false">D5</f>
        <v>3561</v>
      </c>
      <c r="H5" s="20" t="n">
        <f aca="false">F5-G5</f>
        <v>11856</v>
      </c>
      <c r="I5" s="22" t="str">
        <f aca="false">IF(H5&gt;=0,"On Track","Over Pace")</f>
        <v>On Track</v>
      </c>
    </row>
    <row r="6" customFormat="false" ht="21.75" hidden="false" customHeight="true" outlineLevel="0" collapsed="false">
      <c r="B6" s="23" t="s">
        <v>60</v>
      </c>
      <c r="C6" s="24" t="n">
        <v>15417</v>
      </c>
      <c r="D6" s="25" t="n">
        <f aca="false">SUMIFS('Trip Log'!I:I,'Trip Log'!N:N,2)</f>
        <v>4270</v>
      </c>
      <c r="E6" s="25" t="n">
        <f aca="false">C6-D6</f>
        <v>11147</v>
      </c>
      <c r="F6" s="24" t="n">
        <f aca="false">F5+C6</f>
        <v>30834</v>
      </c>
      <c r="G6" s="24" t="n">
        <f aca="false">G5+D6</f>
        <v>7831</v>
      </c>
      <c r="H6" s="25" t="n">
        <f aca="false">F6-G6</f>
        <v>23003</v>
      </c>
      <c r="I6" s="27" t="str">
        <f aca="false">IF(H6&gt;=0,"On Track","Over Pace")</f>
        <v>On Track</v>
      </c>
    </row>
    <row r="7" customFormat="false" ht="21.75" hidden="false" customHeight="true" outlineLevel="0" collapsed="false">
      <c r="B7" s="18" t="s">
        <v>67</v>
      </c>
      <c r="C7" s="19" t="n">
        <v>15417</v>
      </c>
      <c r="D7" s="20" t="n">
        <f aca="false">SUMIFS('Trip Log'!I:I,'Trip Log'!N:N,3)</f>
        <v>3746</v>
      </c>
      <c r="E7" s="20" t="n">
        <f aca="false">C7-D7</f>
        <v>11671</v>
      </c>
      <c r="F7" s="19" t="n">
        <f aca="false">F6+C7</f>
        <v>46251</v>
      </c>
      <c r="G7" s="19" t="n">
        <f aca="false">G6+D7</f>
        <v>11577</v>
      </c>
      <c r="H7" s="20" t="n">
        <f aca="false">F7-G7</f>
        <v>34674</v>
      </c>
      <c r="I7" s="22" t="str">
        <f aca="false">IF(H7&gt;=0,"On Track","Over Pace")</f>
        <v>On Track</v>
      </c>
    </row>
    <row r="8" customFormat="false" ht="21.75" hidden="false" customHeight="true" outlineLevel="0" collapsed="false">
      <c r="B8" s="23" t="s">
        <v>75</v>
      </c>
      <c r="C8" s="24" t="n">
        <v>15417</v>
      </c>
      <c r="D8" s="25" t="n">
        <f aca="false">SUMIFS('Trip Log'!I:I,'Trip Log'!N:N,4)</f>
        <v>3125</v>
      </c>
      <c r="E8" s="25" t="n">
        <f aca="false">C8-D8</f>
        <v>12292</v>
      </c>
      <c r="F8" s="24" t="n">
        <f aca="false">F7+C8</f>
        <v>61668</v>
      </c>
      <c r="G8" s="24" t="n">
        <f aca="false">G7+D8</f>
        <v>14702</v>
      </c>
      <c r="H8" s="25" t="n">
        <f aca="false">F8-G8</f>
        <v>46966</v>
      </c>
      <c r="I8" s="27" t="str">
        <f aca="false">IF(H8&gt;=0,"On Track","Over Pace")</f>
        <v>On Track</v>
      </c>
    </row>
    <row r="9" customFormat="false" ht="21.75" hidden="false" customHeight="true" outlineLevel="0" collapsed="false">
      <c r="B9" s="18" t="s">
        <v>82</v>
      </c>
      <c r="C9" s="19" t="n">
        <v>15417</v>
      </c>
      <c r="D9" s="20" t="n">
        <f aca="false">SUMIFS('Trip Log'!I:I,'Trip Log'!N:N,5)</f>
        <v>3915</v>
      </c>
      <c r="E9" s="20" t="n">
        <f aca="false">C9-D9</f>
        <v>11502</v>
      </c>
      <c r="F9" s="19" t="n">
        <f aca="false">F8+C9</f>
        <v>77085</v>
      </c>
      <c r="G9" s="19" t="n">
        <f aca="false">G8+D9</f>
        <v>18617</v>
      </c>
      <c r="H9" s="20" t="n">
        <f aca="false">F9-G9</f>
        <v>58468</v>
      </c>
      <c r="I9" s="22" t="str">
        <f aca="false">IF(H9&gt;=0,"On Track","Over Pace")</f>
        <v>On Track</v>
      </c>
    </row>
    <row r="10" customFormat="false" ht="21.75" hidden="false" customHeight="true" outlineLevel="0" collapsed="false">
      <c r="B10" s="23" t="s">
        <v>89</v>
      </c>
      <c r="C10" s="24" t="n">
        <v>15417</v>
      </c>
      <c r="D10" s="25" t="n">
        <f aca="false">SUMIFS('Trip Log'!I:I,'Trip Log'!N:N,6)</f>
        <v>4888</v>
      </c>
      <c r="E10" s="25" t="n">
        <f aca="false">C10-D10</f>
        <v>10529</v>
      </c>
      <c r="F10" s="24" t="n">
        <f aca="false">F9+C10</f>
        <v>92502</v>
      </c>
      <c r="G10" s="24" t="n">
        <f aca="false">G9+D10</f>
        <v>23505</v>
      </c>
      <c r="H10" s="25" t="n">
        <f aca="false">F10-G10</f>
        <v>68997</v>
      </c>
      <c r="I10" s="27" t="str">
        <f aca="false">IF(H10&gt;=0,"On Track","Over Pace")</f>
        <v>On Track</v>
      </c>
    </row>
    <row r="11" customFormat="false" ht="21.75" hidden="false" customHeight="true" outlineLevel="0" collapsed="false">
      <c r="B11" s="18" t="s">
        <v>96</v>
      </c>
      <c r="C11" s="19" t="n">
        <v>15417</v>
      </c>
      <c r="D11" s="20" t="n">
        <f aca="false">SUMIFS('Trip Log'!I:I,'Trip Log'!N:N,7)</f>
        <v>2992</v>
      </c>
      <c r="E11" s="20" t="n">
        <f aca="false">C11-D11</f>
        <v>12425</v>
      </c>
      <c r="F11" s="19" t="n">
        <f aca="false">F10+C11</f>
        <v>107919</v>
      </c>
      <c r="G11" s="19" t="n">
        <f aca="false">G10+D11</f>
        <v>26497</v>
      </c>
      <c r="H11" s="20" t="n">
        <f aca="false">F11-G11</f>
        <v>81422</v>
      </c>
      <c r="I11" s="22" t="str">
        <f aca="false">IF(H11&gt;=0,"On Track","Over Pace")</f>
        <v>On Track</v>
      </c>
    </row>
    <row r="12" customFormat="false" ht="21.75" hidden="false" customHeight="true" outlineLevel="0" collapsed="false">
      <c r="B12" s="23" t="s">
        <v>102</v>
      </c>
      <c r="C12" s="24" t="n">
        <v>15417</v>
      </c>
      <c r="D12" s="25" t="n">
        <f aca="false">SUMIFS('Trip Log'!I:I,'Trip Log'!N:N,8)</f>
        <v>3145</v>
      </c>
      <c r="E12" s="25" t="n">
        <f aca="false">C12-D12</f>
        <v>12272</v>
      </c>
      <c r="F12" s="24" t="n">
        <f aca="false">F11+C12</f>
        <v>123336</v>
      </c>
      <c r="G12" s="24" t="n">
        <f aca="false">G11+D12</f>
        <v>29642</v>
      </c>
      <c r="H12" s="25" t="n">
        <f aca="false">F12-G12</f>
        <v>93694</v>
      </c>
      <c r="I12" s="27" t="str">
        <f aca="false">IF(H12&gt;=0,"On Track","Over Pace")</f>
        <v>On Track</v>
      </c>
    </row>
    <row r="13" customFormat="false" ht="21.75" hidden="false" customHeight="true" outlineLevel="0" collapsed="false">
      <c r="B13" s="18" t="s">
        <v>109</v>
      </c>
      <c r="C13" s="19" t="n">
        <v>15417</v>
      </c>
      <c r="D13" s="20" t="n">
        <f aca="false">SUMIFS('Trip Log'!I:I,'Trip Log'!N:N,9)</f>
        <v>2995</v>
      </c>
      <c r="E13" s="20" t="n">
        <f aca="false">C13-D13</f>
        <v>12422</v>
      </c>
      <c r="F13" s="19" t="n">
        <f aca="false">F12+C13</f>
        <v>138753</v>
      </c>
      <c r="G13" s="19" t="n">
        <f aca="false">G12+D13</f>
        <v>32637</v>
      </c>
      <c r="H13" s="20" t="n">
        <f aca="false">F13-G13</f>
        <v>106116</v>
      </c>
      <c r="I13" s="22" t="str">
        <f aca="false">IF(H13&gt;=0,"On Track","Over Pace")</f>
        <v>On Track</v>
      </c>
    </row>
    <row r="14" customFormat="false" ht="21.75" hidden="false" customHeight="true" outlineLevel="0" collapsed="false">
      <c r="B14" s="23" t="s">
        <v>115</v>
      </c>
      <c r="C14" s="24" t="n">
        <v>15417</v>
      </c>
      <c r="D14" s="25" t="n">
        <f aca="false">SUMIFS('Trip Log'!I:I,'Trip Log'!N:N,10)</f>
        <v>3495</v>
      </c>
      <c r="E14" s="25" t="n">
        <f aca="false">C14-D14</f>
        <v>11922</v>
      </c>
      <c r="F14" s="24" t="n">
        <f aca="false">F13+C14</f>
        <v>154170</v>
      </c>
      <c r="G14" s="24" t="n">
        <f aca="false">G13+D14</f>
        <v>36132</v>
      </c>
      <c r="H14" s="25" t="n">
        <f aca="false">F14-G14</f>
        <v>118038</v>
      </c>
      <c r="I14" s="27" t="str">
        <f aca="false">IF(H14&gt;=0,"On Track","Over Pace")</f>
        <v>On Track</v>
      </c>
    </row>
    <row r="15" customFormat="false" ht="21.75" hidden="false" customHeight="true" outlineLevel="0" collapsed="false">
      <c r="B15" s="18" t="s">
        <v>122</v>
      </c>
      <c r="C15" s="19" t="n">
        <v>15417</v>
      </c>
      <c r="D15" s="20" t="n">
        <f aca="false">SUMIFS('Trip Log'!I:I,'Trip Log'!N:N,11)</f>
        <v>2375</v>
      </c>
      <c r="E15" s="20" t="n">
        <f aca="false">C15-D15</f>
        <v>13042</v>
      </c>
      <c r="F15" s="19" t="n">
        <f aca="false">F14+C15</f>
        <v>169587</v>
      </c>
      <c r="G15" s="19" t="n">
        <f aca="false">G14+D15</f>
        <v>38507</v>
      </c>
      <c r="H15" s="20" t="n">
        <f aca="false">F15-G15</f>
        <v>131080</v>
      </c>
      <c r="I15" s="22" t="str">
        <f aca="false">IF(H15&gt;=0,"On Track","Over Pace")</f>
        <v>On Track</v>
      </c>
    </row>
    <row r="16" customFormat="false" ht="21.75" hidden="false" customHeight="true" outlineLevel="0" collapsed="false">
      <c r="B16" s="23" t="s">
        <v>128</v>
      </c>
      <c r="C16" s="24" t="n">
        <v>15417</v>
      </c>
      <c r="D16" s="25" t="n">
        <f aca="false">SUMIFS('Trip Log'!I:I,'Trip Log'!N:N,12)</f>
        <v>1945</v>
      </c>
      <c r="E16" s="25" t="n">
        <f aca="false">C16-D16</f>
        <v>13472</v>
      </c>
      <c r="F16" s="24" t="n">
        <f aca="false">F15+C16</f>
        <v>185004</v>
      </c>
      <c r="G16" s="24" t="n">
        <f aca="false">G15+D16</f>
        <v>40452</v>
      </c>
      <c r="H16" s="25" t="n">
        <f aca="false">F16-G16</f>
        <v>144552</v>
      </c>
      <c r="I16" s="27" t="str">
        <f aca="false">IF(H16&gt;=0,"On Track","Over Pace")</f>
        <v>On Track</v>
      </c>
    </row>
    <row r="17" customFormat="false" ht="25.5" hidden="false" customHeight="true" outlineLevel="0" collapsed="false">
      <c r="B17" s="28" t="s">
        <v>137</v>
      </c>
      <c r="C17" s="29" t="n">
        <f aca="false">SUM(C5:C16)</f>
        <v>185004</v>
      </c>
      <c r="D17" s="29" t="n">
        <f aca="false">SUM(D5:D16)</f>
        <v>40452</v>
      </c>
      <c r="E17" s="29" t="n">
        <f aca="false">C17-D17</f>
        <v>144552</v>
      </c>
      <c r="F17" s="29" t="n">
        <f aca="false">C17</f>
        <v>185004</v>
      </c>
      <c r="G17" s="29" t="n">
        <f aca="false">D17</f>
        <v>40452</v>
      </c>
      <c r="H17" s="29" t="n">
        <f aca="false">F17-G17</f>
        <v>144552</v>
      </c>
      <c r="I17" s="31" t="str">
        <f aca="false">IF(H17&gt;=0,"Clean","Over")</f>
        <v>Clean</v>
      </c>
    </row>
    <row r="19" customFormat="false" ht="27.75" hidden="false" customHeight="true" outlineLevel="0" collapsed="false">
      <c r="B19" s="60" t="s">
        <v>138</v>
      </c>
      <c r="C19" s="60"/>
      <c r="D19" s="60"/>
      <c r="E19" s="60"/>
      <c r="F19" s="60"/>
      <c r="G19" s="60"/>
      <c r="H19" s="60"/>
      <c r="I19" s="60"/>
    </row>
    <row r="20" customFormat="false" ht="21.75" hidden="false" customHeight="true" outlineLevel="0" collapsed="false">
      <c r="B20" s="61" t="s">
        <v>139</v>
      </c>
      <c r="C20" s="61"/>
      <c r="D20" s="61"/>
      <c r="E20" s="61"/>
      <c r="F20" s="61"/>
      <c r="G20" s="61"/>
      <c r="H20" s="61"/>
      <c r="I20" s="61"/>
    </row>
    <row r="21" customFormat="false" ht="21.75" hidden="false" customHeight="true" outlineLevel="0" collapsed="false">
      <c r="B21" s="62" t="s">
        <v>140</v>
      </c>
      <c r="C21" s="62"/>
      <c r="D21" s="62"/>
      <c r="E21" s="62"/>
      <c r="F21" s="62"/>
      <c r="G21" s="62"/>
      <c r="H21" s="62"/>
      <c r="I21" s="62"/>
    </row>
    <row r="22" customFormat="false" ht="21.75" hidden="false" customHeight="true" outlineLevel="0" collapsed="false">
      <c r="B22" s="61" t="s">
        <v>141</v>
      </c>
      <c r="C22" s="61"/>
      <c r="D22" s="61"/>
      <c r="E22" s="61"/>
      <c r="F22" s="61"/>
      <c r="G22" s="61"/>
      <c r="H22" s="61"/>
      <c r="I22" s="61"/>
    </row>
    <row r="23" customFormat="false" ht="21.75" hidden="false" customHeight="true" outlineLevel="0" collapsed="false">
      <c r="B23" s="62" t="s">
        <v>142</v>
      </c>
      <c r="C23" s="62"/>
      <c r="D23" s="62"/>
      <c r="E23" s="62"/>
      <c r="F23" s="62"/>
      <c r="G23" s="62"/>
      <c r="H23" s="62"/>
      <c r="I23" s="62"/>
    </row>
    <row r="24" customFormat="false" ht="21.75" hidden="false" customHeight="true" outlineLevel="0" collapsed="false">
      <c r="B24" s="61" t="s">
        <v>143</v>
      </c>
      <c r="C24" s="61"/>
      <c r="D24" s="61"/>
      <c r="E24" s="61"/>
      <c r="F24" s="61"/>
      <c r="G24" s="61"/>
      <c r="H24" s="61"/>
      <c r="I24" s="61"/>
    </row>
    <row r="26" customFormat="false" ht="18" hidden="false" customHeight="true" outlineLevel="0" collapsed="false">
      <c r="B26" s="38" t="s">
        <v>31</v>
      </c>
      <c r="C26" s="38"/>
      <c r="D26" s="38"/>
      <c r="E26" s="38"/>
      <c r="F26" s="38"/>
      <c r="G26" s="38"/>
      <c r="H26" s="38"/>
      <c r="I26" s="38"/>
    </row>
  </sheetData>
  <mergeCells count="9">
    <mergeCell ref="B1:I1"/>
    <mergeCell ref="B2:I2"/>
    <mergeCell ref="B19:I19"/>
    <mergeCell ref="B20:I20"/>
    <mergeCell ref="B21:I21"/>
    <mergeCell ref="B22:I22"/>
    <mergeCell ref="B23:I23"/>
    <mergeCell ref="B24:I24"/>
    <mergeCell ref="B26:I26"/>
  </mergeCells>
  <conditionalFormatting sqref="I5:I16">
    <cfRule type="expression" priority="2" aboveAverage="0" equalAverage="0" bottom="0" percent="0" rank="0" text="" dxfId="1">
      <formula>EXACT(I5,"Over Pace")</formula>
    </cfRule>
    <cfRule type="expression" priority="3" aboveAverage="0" equalAverage="0" bottom="0" percent="0" rank="0" text="" dxfId="3">
      <formula>EXACT(I5,"On Track")</formula>
    </cfRule>
  </conditionalFormatting>
  <conditionalFormatting sqref="E5:E16">
    <cfRule type="dataBar" priority="4">
      <dataBar showValue="1" minLength="10" maxLength="90">
        <cfvo type="min" val="0"/>
        <cfvo type="max" val="0"/>
        <color rgb="FF0A5FAD"/>
      </dataBar>
      <extLst>
        <ext xmlns:x14="http://schemas.microsoft.com/office/spreadsheetml/2009/9/main" uri="{B025F937-C7B1-47D3-B67F-A62EFF666E3E}">
          <x14:id>{AD99A88F-1D75-419D-9970-A0B12911263B}</x14:id>
        </ext>
      </extLst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99A88F-1D75-419D-9970-A0B12911263B}">
            <x14:dataBar minLength="10" maxLength="90" axisPosition="none" gradient="true">
              <x14:cfvo type="min"/>
              <x14:cfvo type="max"/>
              <x14:negativeFillColor rgb="FF0A5FAD"/>
              <x14:axisColor rgb="FF000000"/>
            </x14:dataBar>
          </x14:cfRule>
          <xm:sqref>E5:E16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3" t="s">
        <v>11</v>
      </c>
      <c r="B1" s="64" t="s">
        <v>12</v>
      </c>
      <c r="C1" s="64" t="s">
        <v>13</v>
      </c>
      <c r="E1" s="64" t="s">
        <v>43</v>
      </c>
      <c r="F1" s="64" t="s">
        <v>132</v>
      </c>
      <c r="G1" s="64" t="s">
        <v>133</v>
      </c>
      <c r="H1" s="64" t="s">
        <v>144</v>
      </c>
      <c r="I1" s="64" t="s">
        <v>13</v>
      </c>
      <c r="K1" s="64" t="s">
        <v>35</v>
      </c>
      <c r="L1" s="64" t="s">
        <v>145</v>
      </c>
      <c r="N1" s="63" t="s">
        <v>36</v>
      </c>
      <c r="O1" s="64" t="s">
        <v>146</v>
      </c>
    </row>
    <row r="2" customFormat="false" ht="15" hidden="false" customHeight="false" outlineLevel="0" collapsed="false">
      <c r="A2" s="65" t="s">
        <v>17</v>
      </c>
      <c r="B2" s="66" t="n">
        <f aca="false">Dashboard!C12</f>
        <v>72000</v>
      </c>
      <c r="C2" s="66" t="n">
        <f aca="false">Dashboard!D12</f>
        <v>11572</v>
      </c>
      <c r="E2" s="67" t="s">
        <v>50</v>
      </c>
      <c r="F2" s="66" t="n">
        <f aca="false">'Monthly Forecast'!C5</f>
        <v>15417</v>
      </c>
      <c r="G2" s="66" t="n">
        <f aca="false">'Monthly Forecast'!D5</f>
        <v>3561</v>
      </c>
      <c r="H2" s="66" t="n">
        <f aca="false">'Monthly Forecast'!F5</f>
        <v>15417</v>
      </c>
      <c r="I2" s="66" t="n">
        <f aca="false">'Monthly Forecast'!G5</f>
        <v>3561</v>
      </c>
      <c r="K2" s="67" t="s">
        <v>86</v>
      </c>
      <c r="L2" s="66" t="n">
        <v>3940</v>
      </c>
      <c r="N2" s="65" t="s">
        <v>52</v>
      </c>
      <c r="O2" s="66" t="n">
        <v>10993</v>
      </c>
    </row>
    <row r="3" customFormat="false" ht="15" hidden="false" customHeight="false" outlineLevel="0" collapsed="false">
      <c r="A3" s="65" t="s">
        <v>18</v>
      </c>
      <c r="B3" s="66" t="n">
        <f aca="false">Dashboard!C13</f>
        <v>48000</v>
      </c>
      <c r="C3" s="66" t="n">
        <f aca="false">Dashboard!D13</f>
        <v>22785</v>
      </c>
      <c r="E3" s="67" t="s">
        <v>60</v>
      </c>
      <c r="F3" s="66" t="n">
        <f aca="false">'Monthly Forecast'!C6</f>
        <v>15417</v>
      </c>
      <c r="G3" s="66" t="n">
        <f aca="false">'Monthly Forecast'!D6</f>
        <v>4270</v>
      </c>
      <c r="H3" s="66" t="n">
        <f aca="false">'Monthly Forecast'!F6</f>
        <v>30834</v>
      </c>
      <c r="I3" s="66" t="n">
        <f aca="false">'Monthly Forecast'!G6</f>
        <v>7831</v>
      </c>
      <c r="K3" s="67" t="s">
        <v>113</v>
      </c>
      <c r="L3" s="66" t="n">
        <v>2495</v>
      </c>
      <c r="N3" s="65" t="s">
        <v>46</v>
      </c>
      <c r="O3" s="66" t="n">
        <v>10719</v>
      </c>
    </row>
    <row r="4" customFormat="false" ht="15" hidden="false" customHeight="false" outlineLevel="0" collapsed="false">
      <c r="A4" s="65" t="s">
        <v>19</v>
      </c>
      <c r="B4" s="66" t="n">
        <f aca="false">Dashboard!C14</f>
        <v>28000</v>
      </c>
      <c r="C4" s="66" t="n">
        <f aca="false">Dashboard!D14</f>
        <v>1335</v>
      </c>
      <c r="E4" s="67" t="s">
        <v>67</v>
      </c>
      <c r="F4" s="66" t="n">
        <f aca="false">'Monthly Forecast'!C7</f>
        <v>15417</v>
      </c>
      <c r="G4" s="66" t="n">
        <f aca="false">'Monthly Forecast'!D7</f>
        <v>3746</v>
      </c>
      <c r="H4" s="66" t="n">
        <f aca="false">'Monthly Forecast'!F7</f>
        <v>46251</v>
      </c>
      <c r="I4" s="66" t="n">
        <f aca="false">'Monthly Forecast'!G7</f>
        <v>11577</v>
      </c>
      <c r="K4" s="67" t="s">
        <v>45</v>
      </c>
      <c r="L4" s="66" t="n">
        <v>2344</v>
      </c>
      <c r="N4" s="65" t="s">
        <v>62</v>
      </c>
      <c r="O4" s="66" t="n">
        <v>9245</v>
      </c>
    </row>
    <row r="5" customFormat="false" ht="15" hidden="false" customHeight="false" outlineLevel="0" collapsed="false">
      <c r="A5" s="65" t="s">
        <v>20</v>
      </c>
      <c r="B5" s="66" t="n">
        <f aca="false">Dashboard!C15</f>
        <v>18000</v>
      </c>
      <c r="C5" s="66" t="n">
        <f aca="false">Dashboard!D15</f>
        <v>965</v>
      </c>
      <c r="E5" s="67" t="s">
        <v>75</v>
      </c>
      <c r="F5" s="66" t="n">
        <f aca="false">'Monthly Forecast'!C8</f>
        <v>15417</v>
      </c>
      <c r="G5" s="66" t="n">
        <f aca="false">'Monthly Forecast'!D8</f>
        <v>3125</v>
      </c>
      <c r="H5" s="66" t="n">
        <f aca="false">'Monthly Forecast'!F8</f>
        <v>61668</v>
      </c>
      <c r="I5" s="66" t="n">
        <f aca="false">'Monthly Forecast'!G8</f>
        <v>14702</v>
      </c>
      <c r="K5" s="67" t="s">
        <v>83</v>
      </c>
      <c r="L5" s="66" t="n">
        <v>2325</v>
      </c>
      <c r="N5" s="65" t="s">
        <v>57</v>
      </c>
      <c r="O5" s="66" t="n">
        <v>7195</v>
      </c>
    </row>
    <row r="6" customFormat="false" ht="15" hidden="false" customHeight="false" outlineLevel="0" collapsed="false">
      <c r="A6" s="65" t="s">
        <v>21</v>
      </c>
      <c r="B6" s="66" t="n">
        <f aca="false">Dashboard!C16</f>
        <v>12000</v>
      </c>
      <c r="C6" s="66" t="n">
        <f aca="false">Dashboard!D16</f>
        <v>3795</v>
      </c>
      <c r="E6" s="67" t="s">
        <v>82</v>
      </c>
      <c r="F6" s="66" t="n">
        <f aca="false">'Monthly Forecast'!C9</f>
        <v>15417</v>
      </c>
      <c r="G6" s="66" t="n">
        <f aca="false">'Monthly Forecast'!D9</f>
        <v>3915</v>
      </c>
      <c r="H6" s="66" t="n">
        <f aca="false">'Monthly Forecast'!F9</f>
        <v>77085</v>
      </c>
      <c r="I6" s="66" t="n">
        <f aca="false">'Monthly Forecast'!G9</f>
        <v>18617</v>
      </c>
      <c r="K6" s="67" t="s">
        <v>61</v>
      </c>
      <c r="L6" s="66" t="n">
        <v>2305</v>
      </c>
      <c r="N6" s="65" t="s">
        <v>72</v>
      </c>
      <c r="O6" s="66" t="n">
        <v>2300</v>
      </c>
    </row>
    <row r="7" customFormat="false" ht="15" hidden="false" customHeight="false" outlineLevel="0" collapsed="false">
      <c r="A7" s="65" t="s">
        <v>22</v>
      </c>
      <c r="B7" s="66" t="n">
        <f aca="false">Dashboard!C17</f>
        <v>7000</v>
      </c>
      <c r="C7" s="66" t="n">
        <f aca="false">Dashboard!D17</f>
        <v>0</v>
      </c>
      <c r="E7" s="67" t="s">
        <v>89</v>
      </c>
      <c r="F7" s="66" t="n">
        <f aca="false">'Monthly Forecast'!C10</f>
        <v>15417</v>
      </c>
      <c r="G7" s="66" t="n">
        <f aca="false">'Monthly Forecast'!D10</f>
        <v>4888</v>
      </c>
      <c r="H7" s="66" t="n">
        <f aca="false">'Monthly Forecast'!F10</f>
        <v>92502</v>
      </c>
      <c r="I7" s="66" t="n">
        <f aca="false">'Monthly Forecast'!G10</f>
        <v>23505</v>
      </c>
      <c r="K7" s="67" t="s">
        <v>71</v>
      </c>
      <c r="L7" s="66" t="n">
        <v>2300</v>
      </c>
    </row>
    <row r="8" customFormat="false" ht="15" hidden="false" customHeight="false" outlineLevel="0" collapsed="false">
      <c r="E8" s="67" t="s">
        <v>96</v>
      </c>
      <c r="F8" s="66" t="n">
        <f aca="false">'Monthly Forecast'!C11</f>
        <v>15417</v>
      </c>
      <c r="G8" s="66" t="n">
        <f aca="false">'Monthly Forecast'!D11</f>
        <v>2992</v>
      </c>
      <c r="H8" s="66" t="n">
        <f aca="false">'Monthly Forecast'!F11</f>
        <v>107919</v>
      </c>
      <c r="I8" s="66" t="n">
        <f aca="false">'Monthly Forecast'!G11</f>
        <v>26497</v>
      </c>
      <c r="K8" s="67" t="s">
        <v>100</v>
      </c>
      <c r="L8" s="66" t="n">
        <v>2120</v>
      </c>
    </row>
    <row r="9" customFormat="false" ht="15" hidden="false" customHeight="false" outlineLevel="0" collapsed="false">
      <c r="E9" s="67" t="s">
        <v>102</v>
      </c>
      <c r="F9" s="66" t="n">
        <f aca="false">'Monthly Forecast'!C12</f>
        <v>15417</v>
      </c>
      <c r="G9" s="66" t="n">
        <f aca="false">'Monthly Forecast'!D12</f>
        <v>3145</v>
      </c>
      <c r="H9" s="66" t="n">
        <f aca="false">'Monthly Forecast'!F12</f>
        <v>123336</v>
      </c>
      <c r="I9" s="66" t="n">
        <f aca="false">'Monthly Forecast'!G12</f>
        <v>29642</v>
      </c>
      <c r="K9" s="67" t="s">
        <v>68</v>
      </c>
      <c r="L9" s="66" t="n">
        <v>2065</v>
      </c>
    </row>
    <row r="10" customFormat="false" ht="15" hidden="false" customHeight="false" outlineLevel="0" collapsed="false">
      <c r="E10" s="67" t="s">
        <v>109</v>
      </c>
      <c r="F10" s="66" t="n">
        <f aca="false">'Monthly Forecast'!C13</f>
        <v>15417</v>
      </c>
      <c r="G10" s="66" t="n">
        <f aca="false">'Monthly Forecast'!D13</f>
        <v>2995</v>
      </c>
      <c r="H10" s="66" t="n">
        <f aca="false">'Monthly Forecast'!F13</f>
        <v>138753</v>
      </c>
      <c r="I10" s="66" t="n">
        <f aca="false">'Monthly Forecast'!G13</f>
        <v>32637</v>
      </c>
      <c r="K10" s="67" t="s">
        <v>56</v>
      </c>
      <c r="L10" s="66" t="n">
        <v>1965</v>
      </c>
    </row>
    <row r="11" customFormat="false" ht="15" hidden="false" customHeight="false" outlineLevel="0" collapsed="false">
      <c r="E11" s="67" t="s">
        <v>115</v>
      </c>
      <c r="F11" s="66" t="n">
        <f aca="false">'Monthly Forecast'!C14</f>
        <v>15417</v>
      </c>
      <c r="G11" s="66" t="n">
        <f aca="false">'Monthly Forecast'!D14</f>
        <v>3495</v>
      </c>
      <c r="H11" s="66" t="n">
        <f aca="false">'Monthly Forecast'!F14</f>
        <v>154170</v>
      </c>
      <c r="I11" s="66" t="n">
        <f aca="false">'Monthly Forecast'!G14</f>
        <v>36132</v>
      </c>
      <c r="K11" s="67" t="s">
        <v>93</v>
      </c>
      <c r="L11" s="66" t="n">
        <v>1960</v>
      </c>
    </row>
    <row r="12" customFormat="false" ht="15" hidden="false" customHeight="false" outlineLevel="0" collapsed="false">
      <c r="E12" s="67" t="s">
        <v>122</v>
      </c>
      <c r="F12" s="66" t="n">
        <f aca="false">'Monthly Forecast'!C15</f>
        <v>15417</v>
      </c>
      <c r="G12" s="66" t="n">
        <f aca="false">'Monthly Forecast'!D15</f>
        <v>2375</v>
      </c>
      <c r="H12" s="66" t="n">
        <f aca="false">'Monthly Forecast'!F15</f>
        <v>169587</v>
      </c>
      <c r="I12" s="66" t="n">
        <f aca="false">'Monthly Forecast'!G15</f>
        <v>38507</v>
      </c>
      <c r="K12" s="67" t="s">
        <v>126</v>
      </c>
      <c r="L12" s="66" t="n">
        <v>1945</v>
      </c>
    </row>
    <row r="13" customFormat="false" ht="15" hidden="false" customHeight="false" outlineLevel="0" collapsed="false">
      <c r="E13" s="67" t="s">
        <v>128</v>
      </c>
      <c r="F13" s="66" t="n">
        <f aca="false">'Monthly Forecast'!C16</f>
        <v>15417</v>
      </c>
      <c r="G13" s="66" t="n">
        <f aca="false">'Monthly Forecast'!D16</f>
        <v>1945</v>
      </c>
      <c r="H13" s="66" t="n">
        <f aca="false">'Monthly Forecast'!F16</f>
        <v>185004</v>
      </c>
      <c r="I13" s="66" t="n">
        <f aca="false">'Monthly Forecast'!G16</f>
        <v>40452</v>
      </c>
      <c r="K13" s="67" t="s">
        <v>64</v>
      </c>
      <c r="L13" s="66" t="n">
        <v>1681</v>
      </c>
    </row>
    <row r="14" customFormat="false" ht="15" hidden="false" customHeight="false" outlineLevel="0" collapsed="false">
      <c r="K14" s="67" t="s">
        <v>79</v>
      </c>
      <c r="L14" s="66" t="n">
        <v>1590</v>
      </c>
    </row>
    <row r="15" customFormat="false" ht="15" hidden="false" customHeight="false" outlineLevel="0" collapsed="false">
      <c r="K15" s="67" t="s">
        <v>106</v>
      </c>
      <c r="L15" s="66" t="n">
        <v>1580</v>
      </c>
    </row>
    <row r="16" customFormat="false" ht="15" hidden="false" customHeight="false" outlineLevel="0" collapsed="false">
      <c r="K16" s="67" t="s">
        <v>110</v>
      </c>
      <c r="L16" s="66" t="n">
        <v>1415</v>
      </c>
    </row>
    <row r="17" customFormat="false" ht="15" hidden="false" customHeight="false" outlineLevel="0" collapsed="false">
      <c r="K17" s="67" t="s">
        <v>119</v>
      </c>
      <c r="L17" s="66" t="n">
        <v>1345</v>
      </c>
    </row>
    <row r="18" customFormat="false" ht="15" hidden="false" customHeight="false" outlineLevel="0" collapsed="false">
      <c r="K18" s="67" t="s">
        <v>51</v>
      </c>
      <c r="L18" s="66" t="n">
        <v>1217</v>
      </c>
    </row>
    <row r="19" customFormat="false" ht="15" hidden="false" customHeight="false" outlineLevel="0" collapsed="false">
      <c r="K19" s="67" t="s">
        <v>97</v>
      </c>
      <c r="L19" s="66" t="n">
        <v>1032</v>
      </c>
    </row>
    <row r="20" customFormat="false" ht="15" hidden="false" customHeight="false" outlineLevel="0" collapsed="false">
      <c r="K20" s="67" t="s">
        <v>123</v>
      </c>
      <c r="L20" s="66" t="n">
        <v>1030</v>
      </c>
    </row>
    <row r="21" customFormat="false" ht="15" hidden="false" customHeight="false" outlineLevel="0" collapsed="false">
      <c r="K21" s="67" t="s">
        <v>103</v>
      </c>
      <c r="L21" s="66" t="n">
        <v>1025</v>
      </c>
    </row>
    <row r="22" customFormat="false" ht="15" hidden="false" customHeight="false" outlineLevel="0" collapsed="false">
      <c r="K22" s="67" t="s">
        <v>116</v>
      </c>
      <c r="L22" s="66" t="n">
        <v>1000</v>
      </c>
    </row>
    <row r="23" customFormat="false" ht="15" hidden="false" customHeight="false" outlineLevel="0" collapsed="false">
      <c r="K23" s="67" t="s">
        <v>90</v>
      </c>
      <c r="L23" s="66" t="n">
        <v>948</v>
      </c>
    </row>
    <row r="24" customFormat="false" ht="15" hidden="false" customHeight="false" outlineLevel="0" collapsed="false">
      <c r="K24" s="67" t="s">
        <v>76</v>
      </c>
      <c r="L24" s="66" t="n">
        <v>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P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10"/>
  </cols>
  <sheetData>
    <row r="1" customFormat="false" ht="12" hidden="false" customHeight="true" outlineLevel="0" collapsed="false"/>
    <row r="2" customFormat="false" ht="36" hidden="false" customHeight="true" outlineLevel="0" collapsed="false">
      <c r="B2" s="68" t="s">
        <v>147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</row>
    <row r="3" customFormat="false" ht="21.75" hidden="false" customHeight="true" outlineLevel="0" collapsed="false">
      <c r="B3" s="59" t="s">
        <v>148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</row>
    <row r="5" customFormat="false" ht="30" hidden="false" customHeight="true" outlineLevel="0" collapsed="false">
      <c r="B5" s="60" t="s">
        <v>149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</row>
    <row r="27" customFormat="false" ht="30" hidden="false" customHeight="true" outlineLevel="0" collapsed="false">
      <c r="B27" s="60" t="s">
        <v>150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</row>
    <row r="49" customFormat="false" ht="30" hidden="false" customHeight="true" outlineLevel="0" collapsed="false">
      <c r="B49" s="60" t="s">
        <v>151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</row>
    <row r="71" customFormat="false" ht="30" hidden="false" customHeight="true" outlineLevel="0" collapsed="false">
      <c r="B71" s="60" t="s">
        <v>152</v>
      </c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</row>
    <row r="72" customFormat="false" ht="7.5" hidden="false" customHeight="true" outlineLevel="0" collapsed="false"/>
    <row r="73" customFormat="false" ht="21.75" hidden="false" customHeight="true" outlineLevel="0" collapsed="false">
      <c r="B73" s="69" t="s">
        <v>153</v>
      </c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</row>
    <row r="74" customFormat="false" ht="21.75" hidden="false" customHeight="true" outlineLevel="0" collapsed="false">
      <c r="B74" s="70" t="s">
        <v>154</v>
      </c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</row>
    <row r="75" customFormat="false" ht="21.75" hidden="false" customHeight="true" outlineLevel="0" collapsed="false">
      <c r="B75" s="69" t="s">
        <v>155</v>
      </c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</row>
    <row r="76" customFormat="false" ht="21.75" hidden="false" customHeight="true" outlineLevel="0" collapsed="false">
      <c r="B76" s="70" t="s">
        <v>156</v>
      </c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</row>
    <row r="77" customFormat="false" ht="21.75" hidden="false" customHeight="true" outlineLevel="0" collapsed="false">
      <c r="B77" s="69" t="s">
        <v>157</v>
      </c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</row>
    <row r="80" customFormat="false" ht="18" hidden="false" customHeight="true" outlineLevel="0" collapsed="false">
      <c r="B80" s="38" t="s">
        <v>31</v>
      </c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</row>
  </sheetData>
  <mergeCells count="12">
    <mergeCell ref="B2:P2"/>
    <mergeCell ref="B3:P3"/>
    <mergeCell ref="B5:P5"/>
    <mergeCell ref="B27:P27"/>
    <mergeCell ref="B49:P49"/>
    <mergeCell ref="B71:P71"/>
    <mergeCell ref="B73:P73"/>
    <mergeCell ref="B74:P74"/>
    <mergeCell ref="B75:P75"/>
    <mergeCell ref="B76:P76"/>
    <mergeCell ref="B77:P77"/>
    <mergeCell ref="B80:P80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5" min="5" style="0" width="20"/>
    <col collapsed="false" customWidth="true" hidden="false" outlineLevel="0" max="6" min="6" style="0" width="2"/>
  </cols>
  <sheetData>
    <row r="1" customFormat="false" ht="36" hidden="false" customHeight="true" outlineLevel="0" collapsed="false">
      <c r="B1" s="71" t="s">
        <v>158</v>
      </c>
      <c r="C1" s="71"/>
      <c r="D1" s="71"/>
      <c r="E1" s="71"/>
    </row>
    <row r="2" customFormat="false" ht="25.5" hidden="false" customHeight="true" outlineLevel="0" collapsed="false">
      <c r="B2" s="72" t="s">
        <v>159</v>
      </c>
      <c r="C2" s="72"/>
      <c r="D2" s="72"/>
      <c r="E2" s="72"/>
    </row>
    <row r="3" customFormat="false" ht="13.5" hidden="false" customHeight="true" outlineLevel="0" collapsed="false"/>
    <row r="4" customFormat="false" ht="27.75" hidden="false" customHeight="true" outlineLevel="0" collapsed="false">
      <c r="B4" s="73" t="s">
        <v>160</v>
      </c>
      <c r="C4" s="73" t="s">
        <v>161</v>
      </c>
      <c r="D4" s="73" t="s">
        <v>162</v>
      </c>
      <c r="E4" s="73" t="s">
        <v>163</v>
      </c>
    </row>
    <row r="5" customFormat="false" ht="45.75" hidden="false" customHeight="true" outlineLevel="0" collapsed="false">
      <c r="B5" s="74" t="s">
        <v>164</v>
      </c>
      <c r="C5" s="75" t="s">
        <v>165</v>
      </c>
      <c r="D5" s="76" t="s">
        <v>166</v>
      </c>
      <c r="E5" s="77" t="s">
        <v>167</v>
      </c>
    </row>
    <row r="6" customFormat="false" ht="45.75" hidden="false" customHeight="true" outlineLevel="0" collapsed="false">
      <c r="B6" s="78" t="s">
        <v>168</v>
      </c>
      <c r="C6" s="79" t="s">
        <v>169</v>
      </c>
      <c r="D6" s="80" t="s">
        <v>170</v>
      </c>
      <c r="E6" s="81" t="s">
        <v>171</v>
      </c>
    </row>
    <row r="7" customFormat="false" ht="45.75" hidden="false" customHeight="true" outlineLevel="0" collapsed="false">
      <c r="B7" s="74" t="s">
        <v>172</v>
      </c>
      <c r="C7" s="75" t="s">
        <v>173</v>
      </c>
      <c r="D7" s="76" t="s">
        <v>174</v>
      </c>
      <c r="E7" s="77" t="s">
        <v>175</v>
      </c>
    </row>
    <row r="8" customFormat="false" ht="45.75" hidden="false" customHeight="true" outlineLevel="0" collapsed="false">
      <c r="B8" s="78" t="s">
        <v>176</v>
      </c>
      <c r="C8" s="79" t="s">
        <v>177</v>
      </c>
      <c r="D8" s="80" t="s">
        <v>178</v>
      </c>
      <c r="E8" s="81" t="s">
        <v>179</v>
      </c>
    </row>
    <row r="9" customFormat="false" ht="45.75" hidden="false" customHeight="true" outlineLevel="0" collapsed="false">
      <c r="B9" s="74" t="s">
        <v>180</v>
      </c>
      <c r="C9" s="75" t="s">
        <v>181</v>
      </c>
      <c r="D9" s="76" t="s">
        <v>182</v>
      </c>
      <c r="E9" s="77" t="s">
        <v>183</v>
      </c>
    </row>
    <row r="10" customFormat="false" ht="45.75" hidden="false" customHeight="true" outlineLevel="0" collapsed="false">
      <c r="B10" s="78" t="s">
        <v>184</v>
      </c>
      <c r="C10" s="79" t="s">
        <v>185</v>
      </c>
      <c r="D10" s="80" t="s">
        <v>186</v>
      </c>
      <c r="E10" s="81" t="s">
        <v>187</v>
      </c>
    </row>
    <row r="11" customFormat="false" ht="45.75" hidden="false" customHeight="true" outlineLevel="0" collapsed="false">
      <c r="B11" s="74" t="s">
        <v>188</v>
      </c>
      <c r="C11" s="75" t="s">
        <v>189</v>
      </c>
      <c r="D11" s="76" t="s">
        <v>190</v>
      </c>
      <c r="E11" s="77" t="s">
        <v>191</v>
      </c>
    </row>
    <row r="12" customFormat="false" ht="45.75" hidden="false" customHeight="true" outlineLevel="0" collapsed="false">
      <c r="B12" s="78" t="s">
        <v>192</v>
      </c>
      <c r="C12" s="79" t="s">
        <v>193</v>
      </c>
      <c r="D12" s="80" t="s">
        <v>194</v>
      </c>
      <c r="E12" s="81" t="s">
        <v>195</v>
      </c>
    </row>
    <row r="13" customFormat="false" ht="45.75" hidden="false" customHeight="true" outlineLevel="0" collapsed="false">
      <c r="B13" s="74" t="s">
        <v>196</v>
      </c>
      <c r="C13" s="75" t="s">
        <v>197</v>
      </c>
      <c r="D13" s="76" t="s">
        <v>198</v>
      </c>
      <c r="E13" s="77" t="s">
        <v>199</v>
      </c>
    </row>
    <row r="14" customFormat="false" ht="45.75" hidden="false" customHeight="true" outlineLevel="0" collapsed="false">
      <c r="B14" s="78" t="s">
        <v>200</v>
      </c>
      <c r="C14" s="79" t="s">
        <v>201</v>
      </c>
      <c r="D14" s="80" t="s">
        <v>202</v>
      </c>
      <c r="E14" s="81" t="s">
        <v>203</v>
      </c>
    </row>
    <row r="15" customFormat="false" ht="45.75" hidden="false" customHeight="true" outlineLevel="0" collapsed="false">
      <c r="B15" s="74" t="s">
        <v>204</v>
      </c>
      <c r="C15" s="75" t="s">
        <v>205</v>
      </c>
      <c r="D15" s="76" t="s">
        <v>206</v>
      </c>
      <c r="E15" s="77" t="s">
        <v>207</v>
      </c>
    </row>
    <row r="16" customFormat="false" ht="45.75" hidden="false" customHeight="true" outlineLevel="0" collapsed="false">
      <c r="B16" s="78" t="s">
        <v>208</v>
      </c>
      <c r="C16" s="79" t="s">
        <v>209</v>
      </c>
      <c r="D16" s="80" t="s">
        <v>210</v>
      </c>
      <c r="E16" s="81" t="s">
        <v>211</v>
      </c>
    </row>
    <row r="17" customFormat="false" ht="45.75" hidden="false" customHeight="true" outlineLevel="0" collapsed="false">
      <c r="B17" s="74" t="s">
        <v>212</v>
      </c>
      <c r="C17" s="75" t="s">
        <v>213</v>
      </c>
      <c r="D17" s="76" t="s">
        <v>214</v>
      </c>
      <c r="E17" s="77" t="s">
        <v>215</v>
      </c>
    </row>
    <row r="18" customFormat="false" ht="45.75" hidden="false" customHeight="true" outlineLevel="0" collapsed="false">
      <c r="B18" s="78" t="s">
        <v>216</v>
      </c>
      <c r="C18" s="79" t="s">
        <v>217</v>
      </c>
      <c r="D18" s="80" t="s">
        <v>218</v>
      </c>
      <c r="E18" s="81" t="s">
        <v>219</v>
      </c>
    </row>
    <row r="19" customFormat="false" ht="45.75" hidden="false" customHeight="true" outlineLevel="0" collapsed="false">
      <c r="B19" s="74" t="s">
        <v>220</v>
      </c>
      <c r="C19" s="75" t="s">
        <v>221</v>
      </c>
      <c r="D19" s="76" t="s">
        <v>222</v>
      </c>
      <c r="E19" s="77" t="s">
        <v>223</v>
      </c>
    </row>
    <row r="20" customFormat="false" ht="45.75" hidden="false" customHeight="true" outlineLevel="0" collapsed="false">
      <c r="B20" s="78" t="s">
        <v>224</v>
      </c>
      <c r="C20" s="79" t="s">
        <v>225</v>
      </c>
      <c r="D20" s="80" t="s">
        <v>226</v>
      </c>
      <c r="E20" s="81" t="s">
        <v>227</v>
      </c>
    </row>
    <row r="21" customFormat="false" ht="45.75" hidden="false" customHeight="true" outlineLevel="0" collapsed="false">
      <c r="B21" s="74" t="s">
        <v>228</v>
      </c>
      <c r="C21" s="75" t="s">
        <v>229</v>
      </c>
      <c r="D21" s="76" t="s">
        <v>230</v>
      </c>
      <c r="E21" s="77" t="s">
        <v>231</v>
      </c>
    </row>
    <row r="22" customFormat="false" ht="45.75" hidden="false" customHeight="true" outlineLevel="0" collapsed="false">
      <c r="B22" s="78" t="s">
        <v>232</v>
      </c>
      <c r="C22" s="79" t="s">
        <v>233</v>
      </c>
      <c r="D22" s="80" t="s">
        <v>234</v>
      </c>
      <c r="E22" s="81" t="s">
        <v>235</v>
      </c>
    </row>
    <row r="23" customFormat="false" ht="45.75" hidden="false" customHeight="true" outlineLevel="0" collapsed="false">
      <c r="B23" s="74" t="s">
        <v>236</v>
      </c>
      <c r="C23" s="75" t="s">
        <v>237</v>
      </c>
      <c r="D23" s="76" t="s">
        <v>238</v>
      </c>
      <c r="E23" s="77" t="s">
        <v>239</v>
      </c>
    </row>
    <row r="26" customFormat="false" ht="18" hidden="false" customHeight="true" outlineLevel="0" collapsed="false">
      <c r="B26" s="38" t="s">
        <v>31</v>
      </c>
      <c r="C26" s="38"/>
      <c r="D26" s="38"/>
      <c r="E26" s="38"/>
    </row>
    <row r="27" customFormat="false" ht="15.75" hidden="false" customHeight="true" outlineLevel="0" collapsed="false">
      <c r="B27" s="39" t="s">
        <v>240</v>
      </c>
      <c r="C27" s="39"/>
      <c r="D27" s="39"/>
      <c r="E27" s="39"/>
    </row>
  </sheetData>
  <mergeCells count="4">
    <mergeCell ref="B1:E1"/>
    <mergeCell ref="B2:E2"/>
    <mergeCell ref="B26:E26"/>
    <mergeCell ref="B27:E27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2026-04-19T23:30:16Z</dcterms:created>
  <dc:creator>openpyxl</dc:creator>
  <dc:description/>
  <dc:language>en-US</dc:language>
  <cp:lastModifiedBy/>
  <dcterms:modified xsi:type="dcterms:W3CDTF">2026-04-19T23:33:57Z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